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kngtechau-my.sharepoint.com/personal/akshay_mktech_com_au/Documents/Desktop/"/>
    </mc:Choice>
  </mc:AlternateContent>
  <xr:revisionPtr revIDLastSave="829" documentId="8_{18464D7D-BD1E-4B47-88E1-5ED6D2D2D4A8}" xr6:coauthVersionLast="47" xr6:coauthVersionMax="47" xr10:uidLastSave="{A96FC004-2359-451D-9C03-11D0769590AC}"/>
  <bookViews>
    <workbookView xWindow="-108" yWindow="-108" windowWidth="23256" windowHeight="13896" tabRatio="668" xr2:uid="{C00ACAA8-41EF-46CC-B7A2-8448E4A0E419}"/>
  </bookViews>
  <sheets>
    <sheet name="Milestone Tracker" sheetId="2" r:id="rId1"/>
    <sheet name="Activity Tracker" sheetId="9" r:id="rId2"/>
    <sheet name="Tech-Business Risk" sheetId="10" r:id="rId3"/>
    <sheet name="Dev Velocity" sheetId="11" r:id="rId4"/>
    <sheet name="Decision Table " sheetId="12" r:id="rId5"/>
    <sheet name="Task Owners Table" sheetId="6" r:id="rId6"/>
  </sheets>
  <definedNames>
    <definedName name="_xlnm._FilterDatabase" localSheetId="0" hidden="1">'Activity Tracker'!$A$2:$J$21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9" l="1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F5" i="2"/>
  <c r="F6" i="2" s="1"/>
  <c r="F7" i="2" s="1"/>
  <c r="F8" i="2" s="1"/>
  <c r="F9" i="2" s="1"/>
  <c r="F10" i="2" s="1"/>
  <c r="F11" i="2" s="1"/>
  <c r="F12" i="2" s="1"/>
  <c r="F4" i="2"/>
  <c r="F3" i="2"/>
  <c r="E3" i="2"/>
  <c r="E12" i="2"/>
  <c r="E11" i="2"/>
  <c r="E10" i="2"/>
  <c r="E9" i="2"/>
  <c r="E8" i="2"/>
  <c r="E7" i="2"/>
  <c r="E6" i="2"/>
  <c r="E5" i="2"/>
  <c r="E4" i="2"/>
</calcChain>
</file>

<file path=xl/sharedStrings.xml><?xml version="1.0" encoding="utf-8"?>
<sst xmlns="http://schemas.openxmlformats.org/spreadsheetml/2006/main" count="226" uniqueCount="112">
  <si>
    <t>Table 1</t>
  </si>
  <si>
    <t>ActivityID</t>
  </si>
  <si>
    <t>StartDate</t>
  </si>
  <si>
    <t>EndDate</t>
  </si>
  <si>
    <t>OverallStatus</t>
  </si>
  <si>
    <t>Not Started</t>
  </si>
  <si>
    <t>Table 2</t>
  </si>
  <si>
    <t>Update the Current Status &amp; Comments</t>
  </si>
  <si>
    <t>Status</t>
  </si>
  <si>
    <t>Owner</t>
  </si>
  <si>
    <t>Priority</t>
  </si>
  <si>
    <t>Current Date</t>
  </si>
  <si>
    <t>Comments</t>
  </si>
  <si>
    <t>Completed</t>
  </si>
  <si>
    <t>In-Progress</t>
  </si>
  <si>
    <t>Pending</t>
  </si>
  <si>
    <t>Table 3</t>
  </si>
  <si>
    <t>Ensure you update in same format (e.g., 50% should be 0.50)</t>
  </si>
  <si>
    <t>Task Completion %</t>
  </si>
  <si>
    <t>Milestone Weight</t>
  </si>
  <si>
    <t>Overal Cummulative Completion %</t>
  </si>
  <si>
    <t>Table 4</t>
  </si>
  <si>
    <t>Impact</t>
  </si>
  <si>
    <t>Open</t>
  </si>
  <si>
    <t>Table 6</t>
  </si>
  <si>
    <t>Milestone Name</t>
  </si>
  <si>
    <t>End Date</t>
  </si>
  <si>
    <t>Task Name</t>
  </si>
  <si>
    <t>RAID ID</t>
  </si>
  <si>
    <t>RAID Type</t>
  </si>
  <si>
    <t>Description</t>
  </si>
  <si>
    <t>Likelihood</t>
  </si>
  <si>
    <t>Mitigation</t>
  </si>
  <si>
    <t>Target Date</t>
  </si>
  <si>
    <t>Decision ID</t>
  </si>
  <si>
    <t>Decision Required</t>
  </si>
  <si>
    <t>Impact if Delayed</t>
  </si>
  <si>
    <t>Role</t>
  </si>
  <si>
    <t>TaskID</t>
  </si>
  <si>
    <t>Risk Level</t>
  </si>
  <si>
    <t>On-Hold</t>
  </si>
  <si>
    <t>Table 5</t>
  </si>
  <si>
    <t>Date</t>
  </si>
  <si>
    <t>Required By Date</t>
  </si>
  <si>
    <t>Completion % (by weight)</t>
  </si>
  <si>
    <t>Dev (Phase 1)</t>
  </si>
  <si>
    <t>Legal &amp; Contracts</t>
  </si>
  <si>
    <t>Collaboration Meetings</t>
  </si>
  <si>
    <t>Dev (Phase 2)</t>
  </si>
  <si>
    <t>Website Updates</t>
  </si>
  <si>
    <t>Marketing &amp; Ad Plan</t>
  </si>
  <si>
    <t xml:space="preserve">UAT &amp; Security </t>
  </si>
  <si>
    <t>Pilot (Go-Live)</t>
  </si>
  <si>
    <t>Product Metrics</t>
  </si>
  <si>
    <t>Production (Go-Live)</t>
  </si>
  <si>
    <t>In Progress</t>
  </si>
  <si>
    <t>Ryoma</t>
  </si>
  <si>
    <t>Heman</t>
  </si>
  <si>
    <t>Akshay</t>
  </si>
  <si>
    <t>Bank Feed API Connection (Basiq) &amp; ACCC Accrediation</t>
  </si>
  <si>
    <t>High</t>
  </si>
  <si>
    <t>Website Scrapping for Properties (RWAG)</t>
  </si>
  <si>
    <t>Med</t>
  </si>
  <si>
    <t xml:space="preserve">Website scaper completed and operating. </t>
  </si>
  <si>
    <t>User Login Link &amp; QR Code</t>
  </si>
  <si>
    <t>Meeting with Legal for Trademark &amp; Agreements</t>
  </si>
  <si>
    <t>Schedule Meetings with Basiq</t>
  </si>
  <si>
    <t>Schedule Meetings with Realestate.com</t>
  </si>
  <si>
    <t xml:space="preserve">Trademark and agreements pathway </t>
  </si>
  <si>
    <t>Schedule Meetings with Domain.com</t>
  </si>
  <si>
    <t>PM &amp; Rental Agency Landing Page to check Tenant Ranking (By Property)</t>
  </si>
  <si>
    <t>Email Notifications for Property Manager</t>
  </si>
  <si>
    <t>Notifications are working, just need the actual reports with data from Basiq. Currently sending to single email address.</t>
  </si>
  <si>
    <t>Website Update (Messaging, About us, Values, Branding)</t>
  </si>
  <si>
    <t>Domain &amp; SSL Certificate</t>
  </si>
  <si>
    <t>Database &amp; Contacts (Agencies)</t>
  </si>
  <si>
    <t>Brochure, AI video &amp; Ad templates</t>
  </si>
  <si>
    <t>CRM (Cadence Plan for Ads)</t>
  </si>
  <si>
    <t>VAPT Scan &amp; Bug Fixes</t>
  </si>
  <si>
    <t>CyberSecurity &amp; Privacy Audit &amp; Bug Fixes</t>
  </si>
  <si>
    <t>Real Estate Agency Onboarding Kit (Link / QR &amp; Brochure)</t>
  </si>
  <si>
    <t>Pilot KPI Tracking Dashboard (Onboarding Form)</t>
  </si>
  <si>
    <t xml:space="preserve">Integration &amp; Scaling </t>
  </si>
  <si>
    <t>Low</t>
  </si>
  <si>
    <t>Risk</t>
  </si>
  <si>
    <t>Tech Risks - Dependency on Basiq</t>
  </si>
  <si>
    <t>Tech Risks - Scaling to handle Concurent Users</t>
  </si>
  <si>
    <t>Compliance Risk - (CyberSecurity &amp; Privacy)</t>
  </si>
  <si>
    <t xml:space="preserve">Business Risk - Competition </t>
  </si>
  <si>
    <t xml:space="preserve">Business Risk - Legal &amp; Contracts </t>
  </si>
  <si>
    <t>Contract</t>
  </si>
  <si>
    <t>Insurance</t>
  </si>
  <si>
    <t>Business &amp; Tech Plans</t>
  </si>
  <si>
    <t>Trademarks</t>
  </si>
  <si>
    <t>Contract with Basiq underway while we also have redundancies with backup service providers if necessary.</t>
  </si>
  <si>
    <t>We are only using managed services with proven scalability. This will scale at a more economical rate than Azure or AWS until we high a very high saturation point.</t>
  </si>
  <si>
    <t>Onboarding Marketing Agency</t>
  </si>
  <si>
    <t>Fail to Advertise &amp; Market Product</t>
  </si>
  <si>
    <t>Raj</t>
  </si>
  <si>
    <t>Onboarded Yakk</t>
  </si>
  <si>
    <t>Mannu Kala</t>
  </si>
  <si>
    <t>CEO</t>
  </si>
  <si>
    <t>Raj Nanalal</t>
  </si>
  <si>
    <t>COO</t>
  </si>
  <si>
    <t>Ryoma Ohira</t>
  </si>
  <si>
    <t>CTO</t>
  </si>
  <si>
    <t>Heman Germian</t>
  </si>
  <si>
    <t>CCO</t>
  </si>
  <si>
    <t>Priya Daga</t>
  </si>
  <si>
    <t>CFO</t>
  </si>
  <si>
    <t>Akshay Desai</t>
  </si>
  <si>
    <t>Program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</si>
</sst>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6" fillId="3" borderId="1" xfId="0" applyFont="1" applyFill="1" applyBorder="1"/>
    <xf numFmtId="0" fontId="2" fillId="4" borderId="1" xfId="0" applyFont="1" applyFill="1" applyBorder="1" applyAlignment="1">
      <alignment horizontal="center" vertical="center" wrapText="1" readingOrder="1"/>
    </xf>
    <xf numFmtId="0" fontId="7" fillId="5" borderId="0" xfId="0" applyFont="1" applyFill="1"/>
    <xf numFmtId="0" fontId="8" fillId="5" borderId="0" xfId="0" applyFont="1" applyFill="1"/>
    <xf numFmtId="0" fontId="6" fillId="5" borderId="0" xfId="0" applyFont="1" applyFill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9" fillId="0" borderId="1" xfId="0" applyFont="1" applyBorder="1" applyAlignment="1">
      <alignment horizontal="center" vertical="top"/>
    </xf>
    <xf numFmtId="14" fontId="0" fillId="0" borderId="0" xfId="0" applyNumberFormat="1"/>
    <xf numFmtId="0" fontId="9" fillId="2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left" vertical="center" wrapText="1" readingOrder="1"/>
    </xf>
    <xf numFmtId="0" fontId="1" fillId="5" borderId="1" xfId="0" applyFont="1" applyFill="1" applyBorder="1" applyAlignment="1">
      <alignment horizontal="center" vertical="center" wrapText="1" readingOrder="1"/>
    </xf>
    <xf numFmtId="0" fontId="1" fillId="5" borderId="1" xfId="0" applyFont="1" applyFill="1" applyBorder="1" applyAlignment="1">
      <alignment vertical="top" wrapText="1" readingOrder="1"/>
    </xf>
    <xf numFmtId="0" fontId="0" fillId="5" borderId="0" xfId="0" applyFill="1" applyAlignment="1">
      <alignment vertical="top"/>
    </xf>
    <xf numFmtId="0" fontId="1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164" fontId="0" fillId="0" borderId="1" xfId="0" applyNumberFormat="1" applyBorder="1"/>
    <xf numFmtId="2" fontId="0" fillId="0" borderId="1" xfId="0" applyNumberFormat="1" applyBorder="1"/>
    <xf numFmtId="14" fontId="1" fillId="0" borderId="1" xfId="0" applyNumberFormat="1" applyFont="1" applyBorder="1" applyAlignment="1">
      <alignment horizontal="right" vertical="center" wrapText="1" indent="1" readingOrder="1"/>
    </xf>
    <xf numFmtId="0" fontId="3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2" fontId="0" fillId="6" borderId="1" xfId="1" applyNumberFormat="1" applyFont="1" applyFill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0" fontId="0" fillId="5" borderId="1" xfId="0" applyFill="1" applyBorder="1" applyAlignment="1">
      <alignment vertical="top" wrapText="1"/>
    </xf>
  </cellXfs>
  <cellStyles count="2">
    <cellStyle name="Normal" xfId="0" builtinId="0"/>
    <cellStyle name="Percent" xfId="1" builtinId="5"/>
  </cellStyles>
  <dxfs count="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8606-24E8-4FCE-8C81-1CF1CA6466FF}">
  <dimension ref="A1:N12"/>
  <sheetViews>
    <sheetView tabSelected="1" zoomScale="90" zoomScaleNormal="90" workbookViewId="0">
      <selection activeCell="E24" sqref="E24"/>
    </sheetView>
  </sheetViews>
  <sheetFormatPr defaultRowHeight="14.4" x14ac:dyDescent="0.3"/>
  <cols>
    <col min="1" max="1" width="10.44140625" bestFit="1" customWidth="1"/>
    <col min="2" max="2" width="21.77734375" bestFit="1" customWidth="1"/>
    <col min="3" max="4" width="20.109375" bestFit="1" customWidth="1"/>
    <col min="5" max="5" width="14.77734375" bestFit="1" customWidth="1"/>
    <col min="6" max="6" width="21.33203125" bestFit="1" customWidth="1"/>
    <col min="7" max="7" width="20.77734375" bestFit="1" customWidth="1"/>
    <col min="8" max="8" width="12.21875" bestFit="1" customWidth="1"/>
    <col min="9" max="9" width="14.21875" bestFit="1" customWidth="1"/>
    <col min="10" max="10" width="12.33203125" style="15" bestFit="1" customWidth="1"/>
    <col min="11" max="11" width="20" customWidth="1"/>
    <col min="14" max="14" width="10.77734375" bestFit="1" customWidth="1"/>
  </cols>
  <sheetData>
    <row r="1" spans="1:14" ht="15.6" x14ac:dyDescent="0.3">
      <c r="A1" s="12" t="s">
        <v>0</v>
      </c>
      <c r="B1" s="30" t="s">
        <v>17</v>
      </c>
      <c r="C1" s="30"/>
      <c r="D1" s="30"/>
      <c r="E1" s="30"/>
    </row>
    <row r="2" spans="1:14" ht="33.6" customHeight="1" x14ac:dyDescent="0.3">
      <c r="A2" s="11" t="s">
        <v>1</v>
      </c>
      <c r="B2" s="11" t="s">
        <v>25</v>
      </c>
      <c r="C2" s="11" t="s">
        <v>19</v>
      </c>
      <c r="D2" s="9" t="s">
        <v>18</v>
      </c>
      <c r="E2" s="11" t="s">
        <v>44</v>
      </c>
      <c r="F2" s="11" t="s">
        <v>20</v>
      </c>
      <c r="G2" s="11" t="s">
        <v>2</v>
      </c>
      <c r="H2" s="11" t="s">
        <v>3</v>
      </c>
      <c r="I2" s="9" t="s">
        <v>4</v>
      </c>
      <c r="J2" s="11" t="s">
        <v>9</v>
      </c>
      <c r="K2" s="9" t="s">
        <v>12</v>
      </c>
    </row>
    <row r="3" spans="1:14" x14ac:dyDescent="0.3">
      <c r="A3" s="25">
        <v>1</v>
      </c>
      <c r="B3" s="26" t="s">
        <v>45</v>
      </c>
      <c r="C3" s="6">
        <v>0.15</v>
      </c>
      <c r="D3" s="32">
        <v>0.75</v>
      </c>
      <c r="E3" s="27">
        <f>C3*D3</f>
        <v>0.11249999999999999</v>
      </c>
      <c r="F3" s="28">
        <f>E3</f>
        <v>0.11249999999999999</v>
      </c>
      <c r="G3" s="29">
        <v>46023</v>
      </c>
      <c r="H3" s="29">
        <v>46052</v>
      </c>
      <c r="I3" s="25" t="s">
        <v>55</v>
      </c>
      <c r="J3" s="3" t="s">
        <v>56</v>
      </c>
      <c r="K3" s="3"/>
      <c r="N3" t="s">
        <v>8</v>
      </c>
    </row>
    <row r="4" spans="1:14" x14ac:dyDescent="0.3">
      <c r="A4" s="25">
        <v>2</v>
      </c>
      <c r="B4" s="26" t="s">
        <v>46</v>
      </c>
      <c r="C4" s="6">
        <v>0.05</v>
      </c>
      <c r="D4" s="32">
        <v>0.5</v>
      </c>
      <c r="E4" s="27">
        <f t="shared" ref="E4:E12" si="0">C4*D4</f>
        <v>2.5000000000000001E-2</v>
      </c>
      <c r="F4" s="28">
        <f>F3+E4</f>
        <v>0.13749999999999998</v>
      </c>
      <c r="G4" s="29">
        <v>46036</v>
      </c>
      <c r="H4" s="29">
        <v>46042</v>
      </c>
      <c r="I4" s="25" t="s">
        <v>55</v>
      </c>
      <c r="J4" s="3" t="s">
        <v>57</v>
      </c>
      <c r="K4" s="3"/>
      <c r="N4" t="s">
        <v>5</v>
      </c>
    </row>
    <row r="5" spans="1:14" x14ac:dyDescent="0.3">
      <c r="A5" s="25">
        <v>3</v>
      </c>
      <c r="B5" s="26" t="s">
        <v>47</v>
      </c>
      <c r="C5" s="6">
        <v>0.05</v>
      </c>
      <c r="D5" s="32">
        <v>0.8</v>
      </c>
      <c r="E5" s="27">
        <f t="shared" si="0"/>
        <v>4.0000000000000008E-2</v>
      </c>
      <c r="F5" s="28">
        <f t="shared" ref="F5:F12" si="1">F4+E5</f>
        <v>0.17749999999999999</v>
      </c>
      <c r="G5" s="29">
        <v>46043</v>
      </c>
      <c r="H5" s="29">
        <v>46068</v>
      </c>
      <c r="I5" s="25" t="s">
        <v>55</v>
      </c>
      <c r="J5" s="3" t="s">
        <v>57</v>
      </c>
      <c r="K5" s="3"/>
      <c r="N5" t="s">
        <v>14</v>
      </c>
    </row>
    <row r="6" spans="1:14" x14ac:dyDescent="0.3">
      <c r="A6" s="25">
        <v>4</v>
      </c>
      <c r="B6" s="26" t="s">
        <v>48</v>
      </c>
      <c r="C6" s="6">
        <v>0.2</v>
      </c>
      <c r="D6" s="32">
        <v>0.66</v>
      </c>
      <c r="E6" s="27">
        <f>C6*D6</f>
        <v>0.13200000000000001</v>
      </c>
      <c r="F6" s="28">
        <f t="shared" si="1"/>
        <v>0.3095</v>
      </c>
      <c r="G6" s="29">
        <v>46054</v>
      </c>
      <c r="H6" s="29">
        <v>46068</v>
      </c>
      <c r="I6" s="25" t="s">
        <v>55</v>
      </c>
      <c r="J6" s="3" t="s">
        <v>56</v>
      </c>
      <c r="K6" s="3"/>
      <c r="N6" t="s">
        <v>15</v>
      </c>
    </row>
    <row r="7" spans="1:14" x14ac:dyDescent="0.3">
      <c r="A7" s="25">
        <v>5</v>
      </c>
      <c r="B7" s="26" t="s">
        <v>49</v>
      </c>
      <c r="C7" s="6">
        <v>0.18</v>
      </c>
      <c r="D7" s="32">
        <v>0.5</v>
      </c>
      <c r="E7" s="27">
        <f t="shared" si="0"/>
        <v>0.09</v>
      </c>
      <c r="F7" s="28">
        <f t="shared" si="1"/>
        <v>0.39949999999999997</v>
      </c>
      <c r="G7" s="29">
        <v>46043</v>
      </c>
      <c r="H7" s="29">
        <v>46074</v>
      </c>
      <c r="I7" s="25" t="s">
        <v>55</v>
      </c>
      <c r="J7" s="3" t="s">
        <v>58</v>
      </c>
      <c r="K7" s="3"/>
      <c r="N7" t="s">
        <v>13</v>
      </c>
    </row>
    <row r="8" spans="1:14" x14ac:dyDescent="0.3">
      <c r="A8" s="25">
        <v>6</v>
      </c>
      <c r="B8" s="26" t="s">
        <v>50</v>
      </c>
      <c r="C8" s="6">
        <v>0.17</v>
      </c>
      <c r="D8" s="32">
        <v>0.5</v>
      </c>
      <c r="E8" s="27">
        <f t="shared" si="0"/>
        <v>8.5000000000000006E-2</v>
      </c>
      <c r="F8" s="28">
        <f t="shared" si="1"/>
        <v>0.48449999999999999</v>
      </c>
      <c r="G8" s="29">
        <v>46043</v>
      </c>
      <c r="H8" s="29">
        <v>46074</v>
      </c>
      <c r="I8" s="25" t="s">
        <v>55</v>
      </c>
      <c r="J8" s="3" t="s">
        <v>57</v>
      </c>
      <c r="K8" s="3"/>
    </row>
    <row r="9" spans="1:14" x14ac:dyDescent="0.3">
      <c r="A9" s="25">
        <v>7</v>
      </c>
      <c r="B9" s="26" t="s">
        <v>51</v>
      </c>
      <c r="C9" s="6">
        <v>0.15</v>
      </c>
      <c r="D9" s="33">
        <v>0</v>
      </c>
      <c r="E9" s="27">
        <f t="shared" si="0"/>
        <v>0</v>
      </c>
      <c r="F9" s="28">
        <f t="shared" si="1"/>
        <v>0.48449999999999999</v>
      </c>
      <c r="G9" s="29">
        <v>46054</v>
      </c>
      <c r="H9" s="29">
        <v>46081</v>
      </c>
      <c r="I9" s="25" t="s">
        <v>5</v>
      </c>
      <c r="J9" s="3" t="s">
        <v>58</v>
      </c>
      <c r="K9" s="3"/>
    </row>
    <row r="10" spans="1:14" x14ac:dyDescent="0.3">
      <c r="A10" s="25">
        <v>8</v>
      </c>
      <c r="B10" s="26" t="s">
        <v>52</v>
      </c>
      <c r="C10" s="6">
        <v>0</v>
      </c>
      <c r="D10" s="33">
        <v>0</v>
      </c>
      <c r="E10" s="27">
        <f t="shared" si="0"/>
        <v>0</v>
      </c>
      <c r="F10" s="28">
        <f t="shared" si="1"/>
        <v>0.48449999999999999</v>
      </c>
      <c r="G10" s="29">
        <v>46082</v>
      </c>
      <c r="H10" s="29">
        <v>46142</v>
      </c>
      <c r="I10" s="25" t="s">
        <v>5</v>
      </c>
      <c r="J10" s="3" t="s">
        <v>57</v>
      </c>
      <c r="K10" s="3"/>
    </row>
    <row r="11" spans="1:14" x14ac:dyDescent="0.3">
      <c r="A11" s="25">
        <v>9</v>
      </c>
      <c r="B11" s="26" t="s">
        <v>53</v>
      </c>
      <c r="C11" s="6">
        <v>0.05</v>
      </c>
      <c r="D11" s="33">
        <v>0</v>
      </c>
      <c r="E11" s="27">
        <f t="shared" si="0"/>
        <v>0</v>
      </c>
      <c r="F11" s="28">
        <f t="shared" si="1"/>
        <v>0.48449999999999999</v>
      </c>
      <c r="G11" s="29">
        <v>46082</v>
      </c>
      <c r="H11" s="29">
        <v>46173</v>
      </c>
      <c r="I11" s="25" t="s">
        <v>5</v>
      </c>
      <c r="J11" s="3" t="s">
        <v>56</v>
      </c>
      <c r="K11" s="3"/>
    </row>
    <row r="12" spans="1:14" x14ac:dyDescent="0.3">
      <c r="A12" s="25">
        <v>10</v>
      </c>
      <c r="B12" s="26" t="s">
        <v>54</v>
      </c>
      <c r="C12" s="6">
        <v>0</v>
      </c>
      <c r="D12" s="33">
        <v>0</v>
      </c>
      <c r="E12" s="27">
        <f t="shared" si="0"/>
        <v>0</v>
      </c>
      <c r="F12" s="28">
        <f t="shared" si="1"/>
        <v>0.48449999999999999</v>
      </c>
      <c r="G12" s="29">
        <v>46174</v>
      </c>
      <c r="H12" s="29">
        <v>46539</v>
      </c>
      <c r="I12" s="25" t="s">
        <v>5</v>
      </c>
      <c r="J12" s="3" t="s">
        <v>57</v>
      </c>
      <c r="K12" s="3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2B61-25B2-4B2A-8840-7D41144F18F0}">
  <dimension ref="A1:J21"/>
  <sheetViews>
    <sheetView zoomScale="80" zoomScaleNormal="80" workbookViewId="0">
      <selection activeCell="D26" sqref="D26"/>
    </sheetView>
  </sheetViews>
  <sheetFormatPr defaultRowHeight="14.4" x14ac:dyDescent="0.3"/>
  <cols>
    <col min="1" max="1" width="14.33203125" customWidth="1"/>
    <col min="2" max="2" width="11.33203125" customWidth="1"/>
    <col min="3" max="3" width="40.6640625" customWidth="1"/>
    <col min="4" max="4" width="48.6640625" customWidth="1"/>
    <col min="5" max="5" width="26.44140625" customWidth="1"/>
    <col min="6" max="6" width="10.33203125" customWidth="1"/>
    <col min="7" max="7" width="17.109375" customWidth="1"/>
    <col min="8" max="8" width="8.109375" bestFit="1" customWidth="1"/>
    <col min="9" max="9" width="15" customWidth="1"/>
    <col min="10" max="10" width="46" customWidth="1"/>
  </cols>
  <sheetData>
    <row r="1" spans="1:10" ht="15.6" x14ac:dyDescent="0.3">
      <c r="A1" s="12" t="s">
        <v>6</v>
      </c>
      <c r="B1" s="31" t="s">
        <v>7</v>
      </c>
      <c r="C1" s="31"/>
      <c r="J1" s="15"/>
    </row>
    <row r="2" spans="1:10" ht="27.6" x14ac:dyDescent="0.3">
      <c r="A2" s="11" t="s">
        <v>38</v>
      </c>
      <c r="B2" s="11" t="s">
        <v>1</v>
      </c>
      <c r="C2" s="11" t="s">
        <v>25</v>
      </c>
      <c r="D2" s="11" t="s">
        <v>27</v>
      </c>
      <c r="E2" s="9" t="s">
        <v>8</v>
      </c>
      <c r="F2" s="11" t="s">
        <v>9</v>
      </c>
      <c r="G2" s="11" t="s">
        <v>26</v>
      </c>
      <c r="H2" s="11" t="s">
        <v>10</v>
      </c>
      <c r="I2" s="11" t="s">
        <v>11</v>
      </c>
      <c r="J2" s="9" t="s">
        <v>12</v>
      </c>
    </row>
    <row r="3" spans="1:10" ht="27.6" x14ac:dyDescent="0.3">
      <c r="A3" s="5">
        <v>101</v>
      </c>
      <c r="B3" s="5">
        <v>1</v>
      </c>
      <c r="C3" s="6" t="str">
        <f>VLOOKUP(B3,'Milestone Tracker'!A$2:B$12,2,0)</f>
        <v>Dev (Phase 1)</v>
      </c>
      <c r="D3" s="8" t="s">
        <v>59</v>
      </c>
      <c r="E3" s="5" t="s">
        <v>55</v>
      </c>
      <c r="F3" s="5" t="s">
        <v>56</v>
      </c>
      <c r="G3" s="7">
        <v>46052</v>
      </c>
      <c r="H3" s="5" t="s">
        <v>60</v>
      </c>
      <c r="I3" s="7">
        <f ca="1">TODAY()</f>
        <v>46064</v>
      </c>
      <c r="J3" s="23"/>
    </row>
    <row r="4" spans="1:10" x14ac:dyDescent="0.3">
      <c r="A4" s="5">
        <v>102</v>
      </c>
      <c r="B4" s="5">
        <v>1</v>
      </c>
      <c r="C4" s="6" t="str">
        <f>VLOOKUP(B4,'Milestone Tracker'!A$2:B$12,2,0)</f>
        <v>Dev (Phase 1)</v>
      </c>
      <c r="D4" s="8" t="s">
        <v>61</v>
      </c>
      <c r="E4" s="5" t="s">
        <v>13</v>
      </c>
      <c r="F4" s="5" t="s">
        <v>56</v>
      </c>
      <c r="G4" s="7">
        <v>46052</v>
      </c>
      <c r="H4" s="5" t="s">
        <v>62</v>
      </c>
      <c r="I4" s="7">
        <f t="shared" ref="I4:I21" ca="1" si="0">TODAY()</f>
        <v>46064</v>
      </c>
      <c r="J4" s="23" t="s">
        <v>63</v>
      </c>
    </row>
    <row r="5" spans="1:10" x14ac:dyDescent="0.3">
      <c r="A5" s="5">
        <v>103</v>
      </c>
      <c r="B5" s="5">
        <v>1</v>
      </c>
      <c r="C5" s="6" t="str">
        <f>VLOOKUP(B5,'Milestone Tracker'!A$2:B$12,2,0)</f>
        <v>Dev (Phase 1)</v>
      </c>
      <c r="D5" s="8" t="s">
        <v>64</v>
      </c>
      <c r="E5" s="5" t="s">
        <v>13</v>
      </c>
      <c r="F5" s="5" t="s">
        <v>56</v>
      </c>
      <c r="G5" s="7">
        <v>46052</v>
      </c>
      <c r="H5" s="5" t="s">
        <v>60</v>
      </c>
      <c r="I5" s="7">
        <f t="shared" ca="1" si="0"/>
        <v>46064</v>
      </c>
      <c r="J5" s="23"/>
    </row>
    <row r="6" spans="1:10" x14ac:dyDescent="0.3">
      <c r="A6" s="5">
        <v>201</v>
      </c>
      <c r="B6" s="5">
        <v>2</v>
      </c>
      <c r="C6" s="6" t="str">
        <f>VLOOKUP(B6,'Milestone Tracker'!A$2:B$12,2,0)</f>
        <v>Legal &amp; Contracts</v>
      </c>
      <c r="D6" s="8" t="s">
        <v>65</v>
      </c>
      <c r="E6" s="5" t="s">
        <v>14</v>
      </c>
      <c r="F6" s="5" t="s">
        <v>57</v>
      </c>
      <c r="G6" s="7">
        <v>46043</v>
      </c>
      <c r="H6" s="5" t="s">
        <v>62</v>
      </c>
      <c r="I6" s="7">
        <f t="shared" ca="1" si="0"/>
        <v>46064</v>
      </c>
      <c r="J6" s="24"/>
    </row>
    <row r="7" spans="1:10" x14ac:dyDescent="0.3">
      <c r="A7" s="5">
        <v>301</v>
      </c>
      <c r="B7" s="5">
        <v>3</v>
      </c>
      <c r="C7" s="6" t="str">
        <f>VLOOKUP(B7,'Milestone Tracker'!A$2:B$12,2,0)</f>
        <v>Collaboration Meetings</v>
      </c>
      <c r="D7" s="8" t="s">
        <v>66</v>
      </c>
      <c r="E7" s="5" t="s">
        <v>13</v>
      </c>
      <c r="F7" s="5" t="s">
        <v>57</v>
      </c>
      <c r="G7" s="7">
        <v>46053</v>
      </c>
      <c r="H7" s="5" t="s">
        <v>62</v>
      </c>
      <c r="I7" s="7">
        <f t="shared" ca="1" si="0"/>
        <v>46064</v>
      </c>
      <c r="J7" s="23"/>
    </row>
    <row r="8" spans="1:10" x14ac:dyDescent="0.3">
      <c r="A8" s="5">
        <v>302</v>
      </c>
      <c r="B8" s="5">
        <v>3</v>
      </c>
      <c r="C8" s="6" t="str">
        <f>VLOOKUP(B8,'Milestone Tracker'!A$2:B$12,2,0)</f>
        <v>Collaboration Meetings</v>
      </c>
      <c r="D8" s="8" t="s">
        <v>67</v>
      </c>
      <c r="E8" s="5" t="s">
        <v>55</v>
      </c>
      <c r="F8" s="5" t="s">
        <v>57</v>
      </c>
      <c r="G8" s="7">
        <v>46068</v>
      </c>
      <c r="H8" s="5" t="s">
        <v>62</v>
      </c>
      <c r="I8" s="7">
        <f t="shared" ca="1" si="0"/>
        <v>46064</v>
      </c>
      <c r="J8" s="23" t="s">
        <v>68</v>
      </c>
    </row>
    <row r="9" spans="1:10" x14ac:dyDescent="0.3">
      <c r="A9" s="5">
        <v>303</v>
      </c>
      <c r="B9" s="5">
        <v>3</v>
      </c>
      <c r="C9" s="6" t="str">
        <f>VLOOKUP(B9,'Milestone Tracker'!A$2:B$12,2,0)</f>
        <v>Collaboration Meetings</v>
      </c>
      <c r="D9" s="8" t="s">
        <v>69</v>
      </c>
      <c r="E9" s="5" t="s">
        <v>5</v>
      </c>
      <c r="F9" s="5" t="s">
        <v>57</v>
      </c>
      <c r="G9" s="7">
        <v>46068</v>
      </c>
      <c r="H9" s="5" t="s">
        <v>62</v>
      </c>
      <c r="I9" s="7">
        <f t="shared" ca="1" si="0"/>
        <v>46064</v>
      </c>
      <c r="J9" s="23"/>
    </row>
    <row r="10" spans="1:10" ht="27.6" x14ac:dyDescent="0.3">
      <c r="A10" s="5">
        <v>401</v>
      </c>
      <c r="B10" s="5">
        <v>4</v>
      </c>
      <c r="C10" s="6" t="str">
        <f>VLOOKUP(B10,'Milestone Tracker'!A$2:B$12,2,0)</f>
        <v>Dev (Phase 2)</v>
      </c>
      <c r="D10" s="8" t="s">
        <v>70</v>
      </c>
      <c r="E10" s="5" t="s">
        <v>55</v>
      </c>
      <c r="F10" s="5" t="s">
        <v>56</v>
      </c>
      <c r="G10" s="7">
        <v>46068</v>
      </c>
      <c r="H10" s="5" t="s">
        <v>62</v>
      </c>
      <c r="I10" s="7">
        <f t="shared" ca="1" si="0"/>
        <v>46064</v>
      </c>
      <c r="J10" s="23"/>
    </row>
    <row r="11" spans="1:10" ht="41.4" x14ac:dyDescent="0.3">
      <c r="A11" s="5">
        <v>402</v>
      </c>
      <c r="B11" s="5">
        <v>4</v>
      </c>
      <c r="C11" s="6" t="str">
        <f>VLOOKUP(B11,'Milestone Tracker'!A$2:B$12,2,0)</f>
        <v>Dev (Phase 2)</v>
      </c>
      <c r="D11" s="8" t="s">
        <v>71</v>
      </c>
      <c r="E11" s="5" t="s">
        <v>13</v>
      </c>
      <c r="F11" s="5" t="s">
        <v>56</v>
      </c>
      <c r="G11" s="7">
        <v>46068</v>
      </c>
      <c r="H11" s="5" t="s">
        <v>62</v>
      </c>
      <c r="I11" s="7">
        <f t="shared" ca="1" si="0"/>
        <v>46064</v>
      </c>
      <c r="J11" s="23" t="s">
        <v>72</v>
      </c>
    </row>
    <row r="12" spans="1:10" ht="27.6" x14ac:dyDescent="0.3">
      <c r="A12" s="5">
        <v>501</v>
      </c>
      <c r="B12" s="5">
        <v>5</v>
      </c>
      <c r="C12" s="6" t="str">
        <f>VLOOKUP(B12,'Milestone Tracker'!A$2:B$12,2,0)</f>
        <v>Website Updates</v>
      </c>
      <c r="D12" s="8" t="s">
        <v>73</v>
      </c>
      <c r="E12" s="5" t="s">
        <v>14</v>
      </c>
      <c r="F12" s="5" t="s">
        <v>57</v>
      </c>
      <c r="G12" s="7">
        <v>46074</v>
      </c>
      <c r="H12" s="5" t="s">
        <v>60</v>
      </c>
      <c r="I12" s="7">
        <f t="shared" ca="1" si="0"/>
        <v>46064</v>
      </c>
      <c r="J12" s="23"/>
    </row>
    <row r="13" spans="1:10" x14ac:dyDescent="0.3">
      <c r="A13" s="5">
        <v>502</v>
      </c>
      <c r="B13" s="5">
        <v>5</v>
      </c>
      <c r="C13" s="6" t="str">
        <f>VLOOKUP(B13,'Milestone Tracker'!A$2:B$12,2,0)</f>
        <v>Website Updates</v>
      </c>
      <c r="D13" s="8" t="s">
        <v>74</v>
      </c>
      <c r="E13" s="5" t="s">
        <v>5</v>
      </c>
      <c r="F13" s="5" t="s">
        <v>56</v>
      </c>
      <c r="G13" s="7">
        <v>46074</v>
      </c>
      <c r="H13" s="5" t="s">
        <v>60</v>
      </c>
      <c r="I13" s="7">
        <f t="shared" ca="1" si="0"/>
        <v>46064</v>
      </c>
      <c r="J13" s="23"/>
    </row>
    <row r="14" spans="1:10" x14ac:dyDescent="0.3">
      <c r="A14" s="5">
        <v>601</v>
      </c>
      <c r="B14" s="5">
        <v>6</v>
      </c>
      <c r="C14" s="6" t="str">
        <f>VLOOKUP(B14,'Milestone Tracker'!A$2:B$12,2,0)</f>
        <v>Marketing &amp; Ad Plan</v>
      </c>
      <c r="D14" s="8" t="s">
        <v>75</v>
      </c>
      <c r="E14" s="5" t="s">
        <v>5</v>
      </c>
      <c r="F14" s="5" t="s">
        <v>58</v>
      </c>
      <c r="G14" s="7">
        <v>46074</v>
      </c>
      <c r="H14" s="5" t="s">
        <v>62</v>
      </c>
      <c r="I14" s="7">
        <f t="shared" ca="1" si="0"/>
        <v>46064</v>
      </c>
      <c r="J14" s="23"/>
    </row>
    <row r="15" spans="1:10" x14ac:dyDescent="0.3">
      <c r="A15" s="5">
        <v>602</v>
      </c>
      <c r="B15" s="5">
        <v>6</v>
      </c>
      <c r="C15" s="6" t="str">
        <f>VLOOKUP(B15,'Milestone Tracker'!A$2:B$12,2,0)</f>
        <v>Marketing &amp; Ad Plan</v>
      </c>
      <c r="D15" s="8" t="s">
        <v>76</v>
      </c>
      <c r="E15" s="5" t="s">
        <v>14</v>
      </c>
      <c r="F15" s="5" t="s">
        <v>58</v>
      </c>
      <c r="G15" s="7">
        <v>46074</v>
      </c>
      <c r="H15" s="5" t="s">
        <v>62</v>
      </c>
      <c r="I15" s="7">
        <f t="shared" ca="1" si="0"/>
        <v>46064</v>
      </c>
      <c r="J15" s="23"/>
    </row>
    <row r="16" spans="1:10" x14ac:dyDescent="0.3">
      <c r="A16" s="5">
        <v>603</v>
      </c>
      <c r="B16" s="5">
        <v>6</v>
      </c>
      <c r="C16" s="6" t="str">
        <f>VLOOKUP(B16,'Milestone Tracker'!A$2:B$12,2,0)</f>
        <v>Marketing &amp; Ad Plan</v>
      </c>
      <c r="D16" s="8" t="s">
        <v>77</v>
      </c>
      <c r="E16" s="5" t="s">
        <v>5</v>
      </c>
      <c r="F16" s="5" t="s">
        <v>58</v>
      </c>
      <c r="G16" s="7">
        <v>46074</v>
      </c>
      <c r="H16" s="5" t="s">
        <v>62</v>
      </c>
      <c r="I16" s="7">
        <f t="shared" ca="1" si="0"/>
        <v>46064</v>
      </c>
      <c r="J16" s="22"/>
    </row>
    <row r="17" spans="1:10" x14ac:dyDescent="0.3">
      <c r="A17" s="5">
        <v>701</v>
      </c>
      <c r="B17" s="5">
        <v>7</v>
      </c>
      <c r="C17" s="6" t="str">
        <f>VLOOKUP(B17,'Milestone Tracker'!A$2:B$12,2,0)</f>
        <v xml:space="preserve">UAT &amp; Security </v>
      </c>
      <c r="D17" s="8" t="s">
        <v>78</v>
      </c>
      <c r="E17" s="5" t="s">
        <v>5</v>
      </c>
      <c r="F17" s="5" t="s">
        <v>56</v>
      </c>
      <c r="G17" s="7">
        <v>46081</v>
      </c>
      <c r="H17" s="5" t="s">
        <v>60</v>
      </c>
      <c r="I17" s="7">
        <f t="shared" ca="1" si="0"/>
        <v>46064</v>
      </c>
      <c r="J17" s="21"/>
    </row>
    <row r="18" spans="1:10" x14ac:dyDescent="0.3">
      <c r="A18" s="5">
        <v>702</v>
      </c>
      <c r="B18" s="5">
        <v>7</v>
      </c>
      <c r="C18" s="6" t="str">
        <f>VLOOKUP(B18,'Milestone Tracker'!A$2:B$12,2,0)</f>
        <v xml:space="preserve">UAT &amp; Security </v>
      </c>
      <c r="D18" s="8" t="s">
        <v>79</v>
      </c>
      <c r="E18" s="5" t="s">
        <v>5</v>
      </c>
      <c r="F18" s="5" t="s">
        <v>58</v>
      </c>
      <c r="G18" s="7">
        <v>46081</v>
      </c>
      <c r="H18" s="5" t="s">
        <v>62</v>
      </c>
      <c r="I18" s="7">
        <f t="shared" ca="1" si="0"/>
        <v>46064</v>
      </c>
      <c r="J18" s="22"/>
    </row>
    <row r="19" spans="1:10" ht="27.6" x14ac:dyDescent="0.3">
      <c r="A19" s="5">
        <v>801</v>
      </c>
      <c r="B19" s="5">
        <v>8</v>
      </c>
      <c r="C19" s="6" t="str">
        <f>VLOOKUP(B19,'Milestone Tracker'!A$2:B$12,2,0)</f>
        <v>Pilot (Go-Live)</v>
      </c>
      <c r="D19" s="8" t="s">
        <v>80</v>
      </c>
      <c r="E19" s="5" t="s">
        <v>5</v>
      </c>
      <c r="F19" s="5" t="s">
        <v>58</v>
      </c>
      <c r="G19" s="7">
        <v>46147</v>
      </c>
      <c r="H19" s="5" t="s">
        <v>60</v>
      </c>
      <c r="I19" s="7">
        <f t="shared" ca="1" si="0"/>
        <v>46064</v>
      </c>
      <c r="J19" s="22"/>
    </row>
    <row r="20" spans="1:10" x14ac:dyDescent="0.3">
      <c r="A20" s="5">
        <v>901</v>
      </c>
      <c r="B20" s="5">
        <v>9</v>
      </c>
      <c r="C20" s="6" t="str">
        <f>VLOOKUP(B20,'Milestone Tracker'!A$2:B$12,2,0)</f>
        <v>Product Metrics</v>
      </c>
      <c r="D20" s="8" t="s">
        <v>81</v>
      </c>
      <c r="E20" s="5" t="s">
        <v>5</v>
      </c>
      <c r="F20" s="5" t="s">
        <v>56</v>
      </c>
      <c r="G20" s="7">
        <v>46096</v>
      </c>
      <c r="H20" s="5" t="s">
        <v>62</v>
      </c>
      <c r="I20" s="7">
        <f t="shared" ca="1" si="0"/>
        <v>46064</v>
      </c>
      <c r="J20" s="21"/>
    </row>
    <row r="21" spans="1:10" x14ac:dyDescent="0.3">
      <c r="A21" s="5">
        <v>902</v>
      </c>
      <c r="B21" s="5">
        <v>9</v>
      </c>
      <c r="C21" s="6" t="str">
        <f>VLOOKUP(B21,'Milestone Tracker'!A$2:B$12,2,0)</f>
        <v>Product Metrics</v>
      </c>
      <c r="D21" s="8" t="s">
        <v>82</v>
      </c>
      <c r="E21" s="5" t="s">
        <v>5</v>
      </c>
      <c r="F21" s="5" t="s">
        <v>56</v>
      </c>
      <c r="G21" s="7">
        <v>46173</v>
      </c>
      <c r="H21" s="5" t="s">
        <v>83</v>
      </c>
      <c r="I21" s="7">
        <f t="shared" ca="1" si="0"/>
        <v>46064</v>
      </c>
      <c r="J21" s="21"/>
    </row>
  </sheetData>
  <mergeCells count="1">
    <mergeCell ref="B1:C1"/>
  </mergeCells>
  <conditionalFormatting sqref="E3:E21">
    <cfRule type="containsText" dxfId="2" priority="1" operator="containsText" text="Completed">
      <formula>NOT(ISERROR(SEARCH("Completed",E3)))</formula>
    </cfRule>
    <cfRule type="containsText" dxfId="1" priority="2" operator="containsText" text="Pending">
      <formula>NOT(ISERROR(SEARCH("Pending",E3)))</formula>
    </cfRule>
    <cfRule type="containsText" dxfId="0" priority="3" operator="containsText" text="In Progress">
      <formula>NOT(ISERROR(SEARCH("In Progress",E3)))</formula>
    </cfRule>
  </conditionalFormatting>
  <dataValidations count="1">
    <dataValidation type="list" allowBlank="1" showInputMessage="1" showErrorMessage="1" sqref="E3:E21" xr:uid="{7F7C0974-A78C-4929-9A56-D8CD1BCD9F45}">
      <formula1>$P$18:$P$21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861F0-F18E-4BB5-B911-1CB565C361EC}">
  <dimension ref="A1:K7"/>
  <sheetViews>
    <sheetView workbookViewId="0">
      <selection activeCell="D14" sqref="D14"/>
    </sheetView>
  </sheetViews>
  <sheetFormatPr defaultColWidth="53.88671875" defaultRowHeight="14.4" x14ac:dyDescent="0.3"/>
  <cols>
    <col min="1" max="1" width="7" bestFit="1" customWidth="1"/>
    <col min="2" max="2" width="9.6640625" bestFit="1" customWidth="1"/>
    <col min="3" max="3" width="38.77734375" bestFit="1" customWidth="1"/>
    <col min="4" max="5" width="9.109375" customWidth="1"/>
    <col min="6" max="6" width="12.21875" customWidth="1"/>
    <col min="7" max="7" width="17.109375" customWidth="1"/>
    <col min="8" max="8" width="19" bestFit="1" customWidth="1"/>
    <col min="9" max="9" width="10.6640625" bestFit="1" customWidth="1"/>
    <col min="10" max="10" width="10.21875" bestFit="1" customWidth="1"/>
  </cols>
  <sheetData>
    <row r="1" spans="1:11" x14ac:dyDescent="0.3">
      <c r="A1" s="13" t="s">
        <v>16</v>
      </c>
      <c r="B1" s="2"/>
      <c r="I1" s="1"/>
    </row>
    <row r="2" spans="1:11" x14ac:dyDescent="0.3">
      <c r="A2" s="18" t="s">
        <v>28</v>
      </c>
      <c r="B2" s="18" t="s">
        <v>29</v>
      </c>
      <c r="C2" s="18" t="s">
        <v>30</v>
      </c>
      <c r="D2" s="18" t="s">
        <v>22</v>
      </c>
      <c r="E2" s="18" t="s">
        <v>31</v>
      </c>
      <c r="F2" s="18" t="s">
        <v>39</v>
      </c>
      <c r="G2" s="18" t="s">
        <v>9</v>
      </c>
      <c r="H2" s="18" t="s">
        <v>32</v>
      </c>
      <c r="I2" s="18" t="s">
        <v>33</v>
      </c>
      <c r="J2" s="20" t="s">
        <v>8</v>
      </c>
      <c r="K2" s="20" t="s">
        <v>12</v>
      </c>
    </row>
    <row r="3" spans="1:11" ht="28.8" x14ac:dyDescent="0.3">
      <c r="A3" s="16">
        <v>1</v>
      </c>
      <c r="B3" s="17" t="s">
        <v>84</v>
      </c>
      <c r="C3" s="17" t="s">
        <v>85</v>
      </c>
      <c r="D3" s="17" t="s">
        <v>60</v>
      </c>
      <c r="E3" s="17" t="s">
        <v>60</v>
      </c>
      <c r="F3" s="17" t="s">
        <v>60</v>
      </c>
      <c r="G3" s="17" t="s">
        <v>56</v>
      </c>
      <c r="H3" s="17" t="s">
        <v>90</v>
      </c>
      <c r="I3" s="4">
        <v>46068</v>
      </c>
      <c r="J3" s="17" t="s">
        <v>15</v>
      </c>
      <c r="K3" s="34" t="s">
        <v>94</v>
      </c>
    </row>
    <row r="4" spans="1:11" ht="43.2" x14ac:dyDescent="0.3">
      <c r="A4" s="16">
        <v>2</v>
      </c>
      <c r="B4" s="17" t="s">
        <v>84</v>
      </c>
      <c r="C4" s="17" t="s">
        <v>86</v>
      </c>
      <c r="D4" s="17" t="s">
        <v>60</v>
      </c>
      <c r="E4" s="17" t="s">
        <v>62</v>
      </c>
      <c r="F4" s="17" t="s">
        <v>60</v>
      </c>
      <c r="G4" s="17" t="s">
        <v>56</v>
      </c>
      <c r="H4" s="17" t="s">
        <v>90</v>
      </c>
      <c r="I4" s="4">
        <v>46068</v>
      </c>
      <c r="J4" s="17" t="s">
        <v>15</v>
      </c>
      <c r="K4" s="34" t="s">
        <v>95</v>
      </c>
    </row>
    <row r="5" spans="1:11" x14ac:dyDescent="0.3">
      <c r="A5" s="16">
        <v>3</v>
      </c>
      <c r="B5" s="17" t="s">
        <v>84</v>
      </c>
      <c r="C5" s="17" t="s">
        <v>87</v>
      </c>
      <c r="D5" s="17" t="s">
        <v>60</v>
      </c>
      <c r="E5" s="17" t="s">
        <v>62</v>
      </c>
      <c r="F5" s="17" t="s">
        <v>60</v>
      </c>
      <c r="G5" s="17" t="s">
        <v>58</v>
      </c>
      <c r="H5" s="17" t="s">
        <v>91</v>
      </c>
      <c r="I5" s="4">
        <v>46068</v>
      </c>
      <c r="J5" s="17" t="s">
        <v>15</v>
      </c>
      <c r="K5" s="34"/>
    </row>
    <row r="6" spans="1:11" x14ac:dyDescent="0.3">
      <c r="A6" s="16">
        <v>4</v>
      </c>
      <c r="B6" s="17" t="s">
        <v>84</v>
      </c>
      <c r="C6" s="17" t="s">
        <v>88</v>
      </c>
      <c r="D6" s="17" t="s">
        <v>62</v>
      </c>
      <c r="E6" s="17" t="s">
        <v>62</v>
      </c>
      <c r="F6" s="17" t="s">
        <v>62</v>
      </c>
      <c r="G6" s="17" t="s">
        <v>57</v>
      </c>
      <c r="H6" s="17" t="s">
        <v>92</v>
      </c>
      <c r="I6" s="4">
        <v>46068</v>
      </c>
      <c r="J6" s="17" t="s">
        <v>15</v>
      </c>
      <c r="K6" s="34"/>
    </row>
    <row r="7" spans="1:11" x14ac:dyDescent="0.3">
      <c r="A7" s="16">
        <v>5</v>
      </c>
      <c r="B7" s="17" t="s">
        <v>84</v>
      </c>
      <c r="C7" s="17" t="s">
        <v>89</v>
      </c>
      <c r="D7" s="17" t="s">
        <v>62</v>
      </c>
      <c r="E7" s="17" t="s">
        <v>83</v>
      </c>
      <c r="F7" s="17" t="s">
        <v>83</v>
      </c>
      <c r="G7" s="17" t="s">
        <v>57</v>
      </c>
      <c r="H7" s="17" t="s">
        <v>93</v>
      </c>
      <c r="I7" s="4">
        <v>46068</v>
      </c>
      <c r="J7" s="17" t="s">
        <v>14</v>
      </c>
      <c r="K7" s="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118E1-8AF8-4692-8137-5C52315E53E5}">
  <dimension ref="A1:D7"/>
  <sheetViews>
    <sheetView workbookViewId="0">
      <selection activeCell="D9" sqref="D9"/>
    </sheetView>
  </sheetViews>
  <sheetFormatPr defaultRowHeight="14.4" x14ac:dyDescent="0.3"/>
  <cols>
    <col min="1" max="1" width="17.77734375" customWidth="1"/>
    <col min="2" max="2" width="18.6640625" customWidth="1"/>
    <col min="3" max="3" width="14.44140625" customWidth="1"/>
    <col min="4" max="4" width="17.77734375" customWidth="1"/>
  </cols>
  <sheetData>
    <row r="1" spans="1:4" x14ac:dyDescent="0.3">
      <c r="A1" s="14" t="s">
        <v>21</v>
      </c>
    </row>
    <row r="2" spans="1:4" x14ac:dyDescent="0.3">
      <c r="A2" s="10" t="s">
        <v>42</v>
      </c>
      <c r="B2" s="10" t="s">
        <v>23</v>
      </c>
      <c r="C2" s="10" t="s">
        <v>13</v>
      </c>
      <c r="D2" s="10" t="s">
        <v>40</v>
      </c>
    </row>
    <row r="3" spans="1:4" x14ac:dyDescent="0.3">
      <c r="A3" s="4">
        <v>46010</v>
      </c>
      <c r="B3" s="3">
        <v>5</v>
      </c>
      <c r="C3" s="3">
        <v>0</v>
      </c>
      <c r="D3" s="3">
        <v>0</v>
      </c>
    </row>
    <row r="4" spans="1:4" x14ac:dyDescent="0.3">
      <c r="A4" s="4">
        <v>46017</v>
      </c>
      <c r="B4" s="3">
        <v>14</v>
      </c>
      <c r="C4" s="3">
        <v>0</v>
      </c>
      <c r="D4" s="3">
        <v>0</v>
      </c>
    </row>
    <row r="5" spans="1:4" x14ac:dyDescent="0.3">
      <c r="A5" s="4">
        <v>46024</v>
      </c>
      <c r="B5" s="3">
        <v>19</v>
      </c>
      <c r="C5" s="3">
        <v>1</v>
      </c>
      <c r="D5" s="3">
        <v>0</v>
      </c>
    </row>
    <row r="6" spans="1:4" x14ac:dyDescent="0.3">
      <c r="A6" s="4">
        <v>46031</v>
      </c>
      <c r="B6" s="3">
        <v>18</v>
      </c>
      <c r="C6" s="3">
        <v>4</v>
      </c>
      <c r="D6" s="3">
        <v>0</v>
      </c>
    </row>
    <row r="7" spans="1:4" x14ac:dyDescent="0.3">
      <c r="A7" s="4">
        <v>46038</v>
      </c>
      <c r="B7" s="3">
        <v>18</v>
      </c>
      <c r="C7" s="3">
        <v>4</v>
      </c>
      <c r="D7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9BDD-83F7-4A85-93F8-216108F25544}">
  <dimension ref="A1:G5"/>
  <sheetViews>
    <sheetView workbookViewId="0">
      <selection activeCell="G4" sqref="G4"/>
    </sheetView>
  </sheetViews>
  <sheetFormatPr defaultRowHeight="14.4" x14ac:dyDescent="0.3"/>
  <cols>
    <col min="1" max="1" width="10.21875" bestFit="1" customWidth="1"/>
    <col min="2" max="2" width="28.6640625" bestFit="1" customWidth="1"/>
    <col min="3" max="3" width="28.77734375" bestFit="1" customWidth="1"/>
    <col min="4" max="4" width="15.5546875" bestFit="1" customWidth="1"/>
    <col min="5" max="5" width="14.33203125" bestFit="1" customWidth="1"/>
    <col min="6" max="6" width="11.44140625" customWidth="1"/>
    <col min="7" max="7" width="24.109375" customWidth="1"/>
  </cols>
  <sheetData>
    <row r="1" spans="1:7" x14ac:dyDescent="0.3">
      <c r="A1" s="14" t="s">
        <v>41</v>
      </c>
    </row>
    <row r="2" spans="1:7" x14ac:dyDescent="0.3">
      <c r="A2" s="18" t="s">
        <v>34</v>
      </c>
      <c r="B2" s="18" t="s">
        <v>35</v>
      </c>
      <c r="C2" s="18" t="s">
        <v>36</v>
      </c>
      <c r="D2" s="18" t="s">
        <v>43</v>
      </c>
      <c r="E2" s="18" t="s">
        <v>9</v>
      </c>
      <c r="F2" s="20" t="s">
        <v>8</v>
      </c>
      <c r="G2" s="20" t="s">
        <v>12</v>
      </c>
    </row>
    <row r="3" spans="1:7" x14ac:dyDescent="0.3">
      <c r="A3">
        <v>1</v>
      </c>
      <c r="B3" t="s">
        <v>96</v>
      </c>
      <c r="C3" t="s">
        <v>97</v>
      </c>
      <c r="D3" s="19">
        <v>46082</v>
      </c>
      <c r="E3" t="s">
        <v>98</v>
      </c>
      <c r="F3" t="s">
        <v>13</v>
      </c>
      <c r="G3" t="s">
        <v>99</v>
      </c>
    </row>
    <row r="4" spans="1:7" x14ac:dyDescent="0.3">
      <c r="D4" s="19"/>
    </row>
    <row r="5" spans="1:7" x14ac:dyDescent="0.3">
      <c r="D5" s="19"/>
    </row>
  </sheetData>
  <conditionalFormatting sqref="F3:F5 G3">
    <cfRule type="containsText" dxfId="5" priority="1" operator="containsText" text="Closed">
      <formula>NOT(ISERROR(SEARCH("Closed",F3)))</formula>
    </cfRule>
    <cfRule type="containsText" dxfId="4" priority="2" operator="containsText" text="Pending">
      <formula>NOT(ISERROR(SEARCH("Pending",F3)))</formula>
    </cfRule>
    <cfRule type="containsText" dxfId="3" priority="3" operator="containsText" text="Open">
      <formula>NOT(ISERROR(SEARCH("Open",F3)))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D347-96CC-42CA-8628-5BE9ABA355FA}">
  <dimension ref="A1:M8"/>
  <sheetViews>
    <sheetView zoomScale="90" zoomScaleNormal="90" workbookViewId="0">
      <selection activeCell="B12" sqref="B12"/>
    </sheetView>
  </sheetViews>
  <sheetFormatPr defaultRowHeight="19.2" customHeight="1" x14ac:dyDescent="0.3"/>
  <cols>
    <col min="1" max="2" width="31.33203125" bestFit="1" customWidth="1"/>
    <col min="3" max="3" width="30.6640625" bestFit="1" customWidth="1"/>
    <col min="4" max="4" width="18.6640625" bestFit="1" customWidth="1"/>
    <col min="5" max="5" width="15.6640625" bestFit="1" customWidth="1"/>
    <col min="6" max="6" width="9.109375" bestFit="1" customWidth="1"/>
    <col min="7" max="7" width="15.6640625" bestFit="1" customWidth="1"/>
    <col min="8" max="8" width="25.5546875" bestFit="1" customWidth="1"/>
    <col min="9" max="9" width="11.33203125" bestFit="1" customWidth="1"/>
    <col min="10" max="10" width="10.5546875" bestFit="1" customWidth="1"/>
    <col min="11" max="11" width="19.6640625" customWidth="1"/>
    <col min="13" max="13" width="8.88671875" hidden="1" customWidth="1"/>
  </cols>
  <sheetData>
    <row r="1" spans="1:2" ht="19.2" customHeight="1" x14ac:dyDescent="0.3">
      <c r="A1" s="14" t="s">
        <v>24</v>
      </c>
    </row>
    <row r="2" spans="1:2" ht="19.2" customHeight="1" x14ac:dyDescent="0.3">
      <c r="A2" s="18" t="s">
        <v>9</v>
      </c>
      <c r="B2" s="18" t="s">
        <v>37</v>
      </c>
    </row>
    <row r="3" spans="1:2" ht="19.2" customHeight="1" x14ac:dyDescent="0.3">
      <c r="A3" t="s">
        <v>100</v>
      </c>
      <c r="B3" t="s">
        <v>101</v>
      </c>
    </row>
    <row r="4" spans="1:2" ht="19.2" customHeight="1" x14ac:dyDescent="0.3">
      <c r="A4" t="s">
        <v>102</v>
      </c>
      <c r="B4" t="s">
        <v>103</v>
      </c>
    </row>
    <row r="5" spans="1:2" ht="19.2" customHeight="1" x14ac:dyDescent="0.3">
      <c r="A5" t="s">
        <v>104</v>
      </c>
      <c r="B5" t="s">
        <v>105</v>
      </c>
    </row>
    <row r="6" spans="1:2" ht="19.2" customHeight="1" x14ac:dyDescent="0.3">
      <c r="A6" t="s">
        <v>106</v>
      </c>
      <c r="B6" t="s">
        <v>107</v>
      </c>
    </row>
    <row r="7" spans="1:2" ht="19.2" customHeight="1" x14ac:dyDescent="0.3">
      <c r="A7" t="s">
        <v>108</v>
      </c>
      <c r="B7" t="s">
        <v>109</v>
      </c>
    </row>
    <row r="8" spans="1:2" ht="19.2" customHeight="1" x14ac:dyDescent="0.3">
      <c r="A8" t="s">
        <v>110</v>
      </c>
      <c r="B8" t="s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BC854EEC662343B494B79C841EB893" ma:contentTypeVersion="10" ma:contentTypeDescription="Create a new document." ma:contentTypeScope="" ma:versionID="5372b666b1deec744abc950bd778bcf2">
  <xsd:schema xmlns:xsd="http://www.w3.org/2001/XMLSchema" xmlns:xs="http://www.w3.org/2001/XMLSchema" xmlns:p="http://schemas.microsoft.com/office/2006/metadata/properties" xmlns:ns2="94129c53-c28d-496c-8429-14e6f5d28116" xmlns:ns3="be6c2ab6-144d-4713-a9aa-76e2e710c121" targetNamespace="http://schemas.microsoft.com/office/2006/metadata/properties" ma:root="true" ma:fieldsID="f5b79973334b77a56e25e7935e668f8b" ns2:_="" ns3:_="">
    <xsd:import namespace="94129c53-c28d-496c-8429-14e6f5d28116"/>
    <xsd:import namespace="be6c2ab6-144d-4713-a9aa-76e2e710c1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29c53-c28d-496c-8429-14e6f5d281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d8e22de-06fa-4b83-8561-5671df7624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6c2ab6-144d-4713-a9aa-76e2e710c1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144a95-204c-4bcd-b6dd-c3f14c17afde}" ma:internalName="TaxCatchAll" ma:showField="CatchAllData" ma:web="be6c2ab6-144d-4713-a9aa-76e2e710c1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6c2ab6-144d-4713-a9aa-76e2e710c121" xsi:nil="true"/>
    <lcf76f155ced4ddcb4097134ff3c332f xmlns="94129c53-c28d-496c-8429-14e6f5d28116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DF41E6-B030-4C5E-A0BC-091D9DE265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129c53-c28d-496c-8429-14e6f5d28116"/>
    <ds:schemaRef ds:uri="be6c2ab6-144d-4713-a9aa-76e2e710c1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EBF095-E9D9-4F7C-B93A-8E0DF0599E4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849D2CB-B3C0-4AB2-B40A-B3ADAE67EBAE}">
  <ds:schemaRefs>
    <ds:schemaRef ds:uri="http://schemas.microsoft.com/office/2006/metadata/properties"/>
    <ds:schemaRef ds:uri="http://schemas.microsoft.com/office/infopath/2007/PartnerControls"/>
    <ds:schemaRef ds:uri="be6c2ab6-144d-4713-a9aa-76e2e710c121"/>
    <ds:schemaRef ds:uri="94129c53-c28d-496c-8429-14e6f5d28116"/>
  </ds:schemaRefs>
</ds:datastoreItem>
</file>

<file path=customXml/itemProps4.xml><?xml version="1.0" encoding="utf-8"?>
<ds:datastoreItem xmlns:ds="http://schemas.openxmlformats.org/officeDocument/2006/customXml" ds:itemID="{88336838-3BC2-46FC-A833-CB0394669B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Milestone Tracker</vt:lpstr>
      <vt:lpstr>Activity Tracker</vt:lpstr>
      <vt:lpstr>Tech-Business Risk</vt:lpstr>
      <vt:lpstr>Dev Velocity</vt:lpstr>
      <vt:lpstr>Decision Table </vt:lpstr>
      <vt:lpstr>Task Owners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Akshay Desai</dc:creator>
  <cp:keywords/>
  <dc:description/>
  <cp:lastModifiedBy>Akshay Desai</cp:lastModifiedBy>
  <cp:revision/>
  <dcterms:created xsi:type="dcterms:W3CDTF">2025-12-17T23:40:25Z</dcterms:created>
  <dcterms:modified xsi:type="dcterms:W3CDTF">2026-02-11T03:39:17Z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0x010100C8BC854EEC662343B494B79C841EB893</vt:lpwstr>
  </property>
</Properties>
</file>
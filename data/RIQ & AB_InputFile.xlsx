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erm\Desktop\mkdash\"/>
    </mc:Choice>
  </mc:AlternateContent>
  <xr:revisionPtr revIDLastSave="0" documentId="13_ncr:1_{8530A0F1-756D-4A9A-91DE-7B99C0D8A5AA}" xr6:coauthVersionLast="47" xr6:coauthVersionMax="47" xr10:uidLastSave="{00000000-0000-0000-0000-000000000000}"/>
  <bookViews>
    <workbookView xWindow="-108" yWindow="-108" windowWidth="23256" windowHeight="12456" tabRatio="668" activeTab="3" xr2:uid="{C00ACAA8-41EF-46CC-B7A2-8448E4A0E419}"/>
  </bookViews>
  <sheets>
    <sheet name="Rental IQ" sheetId="2" r:id="rId1"/>
    <sheet name="Rental IQ 2" sheetId="5" r:id="rId2"/>
    <sheet name="RI Insights" sheetId="4" state="hidden" r:id="rId3"/>
    <sheet name="AwardBook" sheetId="7" r:id="rId4"/>
    <sheet name="AwardBook 2" sheetId="6" r:id="rId5"/>
    <sheet name="AB Insights" sheetId="8" state="hidden" r:id="rId6"/>
  </sheets>
  <definedNames>
    <definedName name="_xlnm._FilterDatabase" localSheetId="0" hidden="1">'Rental IQ'!$A$15:$J$34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1" i="2"/>
  <c r="F10" i="2"/>
  <c r="F9" i="2"/>
  <c r="F8" i="2"/>
  <c r="F7" i="2"/>
  <c r="F6" i="2"/>
  <c r="F5" i="2"/>
  <c r="F4" i="2"/>
  <c r="F3" i="2"/>
  <c r="G26" i="7"/>
  <c r="G38" i="2"/>
  <c r="E38" i="2"/>
  <c r="E26" i="7"/>
  <c r="E33" i="7"/>
  <c r="E32" i="7"/>
  <c r="E31" i="7"/>
  <c r="E30" i="7"/>
  <c r="E29" i="7"/>
  <c r="E28" i="7"/>
  <c r="E27" i="7"/>
  <c r="E41" i="2"/>
  <c r="E47" i="2"/>
  <c r="E46" i="2"/>
  <c r="E45" i="2"/>
  <c r="E44" i="2"/>
  <c r="E43" i="2"/>
  <c r="E42" i="2"/>
  <c r="E40" i="2"/>
  <c r="E39" i="2"/>
  <c r="G27" i="7" l="1"/>
  <c r="G28" i="7"/>
  <c r="G29" i="7" s="1"/>
  <c r="G30" i="7" s="1"/>
  <c r="G31" i="7" s="1"/>
  <c r="G32" i="7" s="1"/>
  <c r="G33" i="7" s="1"/>
  <c r="G39" i="2"/>
  <c r="G40" i="2"/>
  <c r="G41" i="2" s="1"/>
  <c r="G42" i="2" s="1"/>
  <c r="G43" i="2" s="1"/>
  <c r="G44" i="2" s="1"/>
  <c r="G45" i="2" s="1"/>
  <c r="G46" i="2" s="1"/>
  <c r="G47" i="2" s="1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</calcChain>
</file>

<file path=xl/sharedStrings.xml><?xml version="1.0" encoding="utf-8"?>
<sst xmlns="http://schemas.openxmlformats.org/spreadsheetml/2006/main" count="604" uniqueCount="281">
  <si>
    <t>Sr. No</t>
  </si>
  <si>
    <t>Status</t>
  </si>
  <si>
    <t>Priority</t>
  </si>
  <si>
    <t>Trademarks</t>
  </si>
  <si>
    <t>Domain &amp; SSL Certificate</t>
  </si>
  <si>
    <t>ActivityID</t>
  </si>
  <si>
    <t>ActivityName</t>
  </si>
  <si>
    <t>StartDate</t>
  </si>
  <si>
    <t>EndDate</t>
  </si>
  <si>
    <t>OverallStatus</t>
  </si>
  <si>
    <t>In Progress</t>
  </si>
  <si>
    <t>Not Started</t>
  </si>
  <si>
    <t>SubTaskID</t>
  </si>
  <si>
    <t>Owner</t>
  </si>
  <si>
    <t>High</t>
  </si>
  <si>
    <t>Med</t>
  </si>
  <si>
    <t>Pilot KPI Tracking Dashboard</t>
  </si>
  <si>
    <t>Low</t>
  </si>
  <si>
    <t>Legal &amp; Contracts</t>
  </si>
  <si>
    <t xml:space="preserve">UAT &amp; Security </t>
  </si>
  <si>
    <t>Collaboration Meetings</t>
  </si>
  <si>
    <t>Pilot (Go-Live)</t>
  </si>
  <si>
    <t>Production (Go-Live)</t>
  </si>
  <si>
    <t>Bank Feed API Connection (Basiq) &amp; ACCC Accrediation</t>
  </si>
  <si>
    <t>Website Scrapping for Properties (RWAG)</t>
  </si>
  <si>
    <t>User Login Link &amp; QR Code</t>
  </si>
  <si>
    <t>Real Estate Agency Onboarding Kit (Link / QR &amp; Brochure)</t>
  </si>
  <si>
    <t>PM &amp; Rental Agency Landing Page to check Tenant Ranking (By Property)</t>
  </si>
  <si>
    <t>Email Notifications for Property Manager</t>
  </si>
  <si>
    <t>Ryoma</t>
  </si>
  <si>
    <t>Schedule Meetings with Basiq</t>
  </si>
  <si>
    <t>Schedule Meetings with Realestate.com</t>
  </si>
  <si>
    <t>Schedule Meetings with Domain.com</t>
  </si>
  <si>
    <t>Website Update (Messaging, About us, Values, Branding)</t>
  </si>
  <si>
    <t>Database &amp; Contacts (Agencies)</t>
  </si>
  <si>
    <t>Brochure, AI video &amp; Ad templates</t>
  </si>
  <si>
    <t>CRM (Cadence Plan for Ads)</t>
  </si>
  <si>
    <t>Meeting with Legal for Trademark &amp; Agreements</t>
  </si>
  <si>
    <t>VAPT Scan &amp; Bug Fixes</t>
  </si>
  <si>
    <t xml:space="preserve">Integration &amp; Scaling </t>
  </si>
  <si>
    <t>CyberSecurity &amp; Privacy Audit &amp; Bug Fixes</t>
  </si>
  <si>
    <t>Agency Name</t>
  </si>
  <si>
    <t>State</t>
  </si>
  <si>
    <t>QLD</t>
  </si>
  <si>
    <t>Raine &amp; Horne</t>
  </si>
  <si>
    <t>NSW</t>
  </si>
  <si>
    <t>VIC</t>
  </si>
  <si>
    <t>WA</t>
  </si>
  <si>
    <t>SA</t>
  </si>
  <si>
    <t>National</t>
  </si>
  <si>
    <t>Ray White Property Management</t>
  </si>
  <si>
    <t>LJ Hooker Property Management</t>
  </si>
  <si>
    <t>Harcourts Victoria</t>
  </si>
  <si>
    <t>Barry Plant Real Estate</t>
  </si>
  <si>
    <t>Ray White Queensland</t>
  </si>
  <si>
    <t>LJ Hooker Queensland</t>
  </si>
  <si>
    <t>Acton Real Estate</t>
  </si>
  <si>
    <t>Toop+Toop</t>
  </si>
  <si>
    <t>RE/MAX Australia (Rentals)</t>
  </si>
  <si>
    <t>Estimated Rental Portfolio</t>
  </si>
  <si>
    <t>Estimated Tenant Applications / Year</t>
  </si>
  <si>
    <t>Priority Tier</t>
  </si>
  <si>
    <t>Primary</t>
  </si>
  <si>
    <t>Secondary</t>
  </si>
  <si>
    <t>Onboarding Status</t>
  </si>
  <si>
    <t>Largest national rental portfolio</t>
  </si>
  <si>
    <t>Strong franchise coverage</t>
  </si>
  <si>
    <t>High NSW density</t>
  </si>
  <si>
    <t>Tech-forward culture</t>
  </si>
  <si>
    <t>Victoria-focused</t>
  </si>
  <si>
    <t>High rental turnover</t>
  </si>
  <si>
    <t>Strong SE QLD presence</t>
  </si>
  <si>
    <t>Dominant Perth market</t>
  </si>
  <si>
    <t>Premium SA brand</t>
  </si>
  <si>
    <t>Decentralised network</t>
  </si>
  <si>
    <t>Focus Areas</t>
  </si>
  <si>
    <t>Prospecting</t>
  </si>
  <si>
    <t>Pilot (Partially)</t>
  </si>
  <si>
    <t>Risks</t>
  </si>
  <si>
    <t>Tech Risks - Dependency on Basiq</t>
  </si>
  <si>
    <t>Tech Risks - Scaling to handle Concurent Users</t>
  </si>
  <si>
    <t>Compliance Risk - (Regulations CS &amp; P)</t>
  </si>
  <si>
    <t xml:space="preserve">Business Risk - Competition </t>
  </si>
  <si>
    <t xml:space="preserve">Business Risk - Legal &amp; Contracts </t>
  </si>
  <si>
    <t>Probablity</t>
  </si>
  <si>
    <t>Impact</t>
  </si>
  <si>
    <t>Transfer</t>
  </si>
  <si>
    <t>Accept</t>
  </si>
  <si>
    <t>Mitigation Plan</t>
  </si>
  <si>
    <t>Contract</t>
  </si>
  <si>
    <t>Insurance</t>
  </si>
  <si>
    <t>Business &amp; Tech Plans</t>
  </si>
  <si>
    <t>Table 3</t>
  </si>
  <si>
    <t>Market Analytics</t>
  </si>
  <si>
    <t>Table 4</t>
  </si>
  <si>
    <t>Risk Categories</t>
  </si>
  <si>
    <t>Table 5</t>
  </si>
  <si>
    <t>Platform Insights</t>
  </si>
  <si>
    <t>Numbers</t>
  </si>
  <si>
    <t>Website Visit</t>
  </si>
  <si>
    <t>Registration Completed</t>
  </si>
  <si>
    <t>Login</t>
  </si>
  <si>
    <t>Service Processed</t>
  </si>
  <si>
    <t>Report Delivered</t>
  </si>
  <si>
    <t>AI Video play</t>
  </si>
  <si>
    <t>Pop-up Click (Tab 1)</t>
  </si>
  <si>
    <t>Pop-up Click (Tab 3)</t>
  </si>
  <si>
    <t>Pop-up Click (Tab 2)</t>
  </si>
  <si>
    <t>Email to sent for #Properties</t>
  </si>
  <si>
    <t>Affordability Rating</t>
  </si>
  <si>
    <t xml:space="preserve">0 - 40 </t>
  </si>
  <si>
    <t>41-70</t>
  </si>
  <si>
    <t>71-100</t>
  </si>
  <si>
    <t>No of users</t>
  </si>
  <si>
    <t>Table 6</t>
  </si>
  <si>
    <t>Dev (Phase 1)</t>
  </si>
  <si>
    <t>Dev (Phase 2)</t>
  </si>
  <si>
    <t>Product Metrics</t>
  </si>
  <si>
    <t>Marketing &amp; Ad Plan</t>
  </si>
  <si>
    <t>Website Updates</t>
  </si>
  <si>
    <t>SubTaskName</t>
  </si>
  <si>
    <t>SubEndDate</t>
  </si>
  <si>
    <t>Risk Owner</t>
  </si>
  <si>
    <t>Compliance Risk - (CyberSecurity &amp; Privacy)</t>
  </si>
  <si>
    <t>Akshay</t>
  </si>
  <si>
    <t>Heman</t>
  </si>
  <si>
    <t>Pending</t>
  </si>
  <si>
    <t>In-Progress</t>
  </si>
  <si>
    <t>Open</t>
  </si>
  <si>
    <t>Completed</t>
  </si>
  <si>
    <t>Dates (Weekly)</t>
  </si>
  <si>
    <t>Delayed</t>
  </si>
  <si>
    <t>Current Date</t>
  </si>
  <si>
    <t>Comments</t>
  </si>
  <si>
    <t>Completion %</t>
  </si>
  <si>
    <t>Milestone Weight</t>
  </si>
  <si>
    <t>Task Completion %</t>
  </si>
  <si>
    <t>Overal Cummulative Completion %</t>
  </si>
  <si>
    <t>Table 1</t>
  </si>
  <si>
    <t>Table 2</t>
  </si>
  <si>
    <t>Notifications are working, just need the actual reports with data from Basiq. Currently sending to single email address.</t>
  </si>
  <si>
    <t xml:space="preserve">Website scaper completed and operating. </t>
  </si>
  <si>
    <t>Contract with Basiq underway while we also have redundancies with backup service providers if necessary.</t>
  </si>
  <si>
    <t>We are only using managed services with proven scalability. This will scale at a more economical rate than Azure or AWS until we high a very high saturation point.</t>
  </si>
  <si>
    <t>Task ID</t>
  </si>
  <si>
    <t>Task Name</t>
  </si>
  <si>
    <t>Milestone ID</t>
  </si>
  <si>
    <t>Workstream</t>
  </si>
  <si>
    <t>Due Date</t>
  </si>
  <si>
    <t>RAG</t>
  </si>
  <si>
    <t>T1</t>
  </si>
  <si>
    <t>Collect Pilot Feedback</t>
  </si>
  <si>
    <t>M1</t>
  </si>
  <si>
    <t>Green</t>
  </si>
  <si>
    <t>T2</t>
  </si>
  <si>
    <t>Enhance Reporting Logic</t>
  </si>
  <si>
    <t>M2</t>
  </si>
  <si>
    <t>Amber</t>
  </si>
  <si>
    <t>T3</t>
  </si>
  <si>
    <t>VAPT Testing</t>
  </si>
  <si>
    <t>M3</t>
  </si>
  <si>
    <t>T4</t>
  </si>
  <si>
    <t>ISO 27001 Lite Controls</t>
  </si>
  <si>
    <t>Red</t>
  </si>
  <si>
    <t>T5</t>
  </si>
  <si>
    <t>Mobile App UX Enhancements</t>
  </si>
  <si>
    <t>M4</t>
  </si>
  <si>
    <t>T6</t>
  </si>
  <si>
    <t>Agency Onboarding Materials</t>
  </si>
  <si>
    <t>M5</t>
  </si>
  <si>
    <t>Milestone Name</t>
  </si>
  <si>
    <t>Phase</t>
  </si>
  <si>
    <t>Start Date</t>
  </si>
  <si>
    <t>End Date</t>
  </si>
  <si>
    <t>%Complete</t>
  </si>
  <si>
    <t>Pilot 1 – Single School</t>
  </si>
  <si>
    <t>Pilot</t>
  </si>
  <si>
    <t>Pilot 2 – Multi School</t>
  </si>
  <si>
    <t>Program Manager</t>
  </si>
  <si>
    <t>Security &amp; Compliance</t>
  </si>
  <si>
    <t>Feature Enhancements</t>
  </si>
  <si>
    <t>Soft Launch</t>
  </si>
  <si>
    <t>Launch</t>
  </si>
  <si>
    <t>M6</t>
  </si>
  <si>
    <t>Full Launch</t>
  </si>
  <si>
    <t>CEO</t>
  </si>
  <si>
    <t>RAID ID</t>
  </si>
  <si>
    <t>RAID Type</t>
  </si>
  <si>
    <t>Description</t>
  </si>
  <si>
    <t>Likelihood</t>
  </si>
  <si>
    <t>Mitigation</t>
  </si>
  <si>
    <t>Target Date</t>
  </si>
  <si>
    <t>R1</t>
  </si>
  <si>
    <t>Risk</t>
  </si>
  <si>
    <t>Delay in pilot adoption</t>
  </si>
  <si>
    <t>Increase school engagement</t>
  </si>
  <si>
    <t>R2</t>
  </si>
  <si>
    <t>Security findings in VAPT</t>
  </si>
  <si>
    <t>Early remediation</t>
  </si>
  <si>
    <t>I1</t>
  </si>
  <si>
    <t>Issue</t>
  </si>
  <si>
    <t>Optimize APIs</t>
  </si>
  <si>
    <t>D1</t>
  </si>
  <si>
    <t>Dependency</t>
  </si>
  <si>
    <t>Decision ID</t>
  </si>
  <si>
    <t>Decision Required</t>
  </si>
  <si>
    <t>Impact if Delayed</t>
  </si>
  <si>
    <t>Required By</t>
  </si>
  <si>
    <t>D001</t>
  </si>
  <si>
    <t>Approve additional security budget</t>
  </si>
  <si>
    <t>Launch delay risk</t>
  </si>
  <si>
    <t>D002</t>
  </si>
  <si>
    <t>Select second pilot school</t>
  </si>
  <si>
    <t>Pilot expansion</t>
  </si>
  <si>
    <t>Role</t>
  </si>
  <si>
    <t>Table 7</t>
  </si>
  <si>
    <t>Table 8</t>
  </si>
  <si>
    <t>Table 9</t>
  </si>
  <si>
    <t>Table 10</t>
  </si>
  <si>
    <t>Heman Germian</t>
  </si>
  <si>
    <t>Ryoma Ohira</t>
  </si>
  <si>
    <t>Akshay Desai</t>
  </si>
  <si>
    <t>Tech</t>
  </si>
  <si>
    <t>Business</t>
  </si>
  <si>
    <t>Product &amp; Complaince</t>
  </si>
  <si>
    <t>M7</t>
  </si>
  <si>
    <t>M8</t>
  </si>
  <si>
    <t>Development Completion</t>
  </si>
  <si>
    <t>Internal UAT</t>
  </si>
  <si>
    <t>T7</t>
  </si>
  <si>
    <t>A1</t>
  </si>
  <si>
    <t>Assumption</t>
  </si>
  <si>
    <t>Automated Scalability of Servers</t>
  </si>
  <si>
    <t>Latency issues</t>
  </si>
  <si>
    <t>Dev Team Availability</t>
  </si>
  <si>
    <t>Additional Developers</t>
  </si>
  <si>
    <t>Additional Scalable options</t>
  </si>
  <si>
    <t>D003</t>
  </si>
  <si>
    <t>Approve Additional Hiring</t>
  </si>
  <si>
    <t>Development Delay &amp; Quality Risks</t>
  </si>
  <si>
    <t>COO</t>
  </si>
  <si>
    <t>CTO</t>
  </si>
  <si>
    <t>CCO</t>
  </si>
  <si>
    <t>CFO</t>
  </si>
  <si>
    <t>ParentID</t>
  </si>
  <si>
    <t>Raj Nanalal</t>
  </si>
  <si>
    <t>Mannu Kala</t>
  </si>
  <si>
    <t>Priya Daga</t>
  </si>
  <si>
    <t>Closed pull requests</t>
  </si>
  <si>
    <t>Not planned</t>
  </si>
  <si>
    <t>Duplicate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</si>
  <si>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</si>
  <si>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</si>
  <si>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</si>
  <si>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</si>
  <si>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</si>
  <si>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</si>
  <si>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</si>
  <si>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11/30/2025</t>
  </si>
  <si>
    <t>12/31/2025</t>
  </si>
  <si>
    <t>Dates</t>
  </si>
  <si>
    <t>Table 11</t>
  </si>
  <si>
    <t>Milestone Completion %</t>
  </si>
  <si>
    <t>Table 12</t>
  </si>
  <si>
    <t>Ensure you update in same format (e.g., 50% should be 0.50)</t>
  </si>
  <si>
    <t>Update the Current Status &amp; Comments</t>
  </si>
  <si>
    <t xml:space="preserve">Trademark and agreements pathway </t>
  </si>
  <si>
    <t xml:space="preserve">Open </t>
  </si>
  <si>
    <t>Closed</t>
  </si>
  <si>
    <t>RIQ - Milestone Schedule</t>
  </si>
  <si>
    <t>RIQ - Activity Table</t>
  </si>
  <si>
    <t>RIQ - Milestone Completion</t>
  </si>
  <si>
    <t>RIQ - Risk Register</t>
  </si>
  <si>
    <t>RIQ - Dev Tasks</t>
  </si>
  <si>
    <t>AB - Milestone Schedule</t>
  </si>
  <si>
    <t>AB - Activity Table</t>
  </si>
  <si>
    <t>AB - Milestone Completion</t>
  </si>
  <si>
    <t>AB - RAID Table</t>
  </si>
  <si>
    <t>AB - Decision Table</t>
  </si>
  <si>
    <t>AB - Owner Table</t>
  </si>
  <si>
    <t>AB - Dev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</si>
</sst>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  <xf numFmtId="14" fontId="1" fillId="0" borderId="1" xfId="0" applyNumberFormat="1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3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/>
    <xf numFmtId="9" fontId="0" fillId="0" borderId="0" xfId="0" applyNumberFormat="1"/>
    <xf numFmtId="2" fontId="0" fillId="0" borderId="1" xfId="0" applyNumberFormat="1" applyBorder="1"/>
    <xf numFmtId="2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/>
    <xf numFmtId="0" fontId="2" fillId="4" borderId="1" xfId="0" applyFont="1" applyFill="1" applyBorder="1" applyAlignment="1">
      <alignment horizontal="center" vertical="center" wrapText="1" readingOrder="1"/>
    </xf>
    <xf numFmtId="0" fontId="5" fillId="5" borderId="0" xfId="0" applyFont="1" applyFill="1"/>
    <xf numFmtId="0" fontId="6" fillId="5" borderId="0" xfId="0" applyFont="1" applyFill="1"/>
    <xf numFmtId="0" fontId="4" fillId="5" borderId="0" xfId="0" applyFont="1" applyFill="1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right"/>
    </xf>
    <xf numFmtId="9" fontId="0" fillId="0" borderId="0" xfId="1" applyFont="1"/>
    <xf numFmtId="0" fontId="7" fillId="2" borderId="1" xfId="0" applyFont="1" applyFill="1" applyBorder="1" applyAlignment="1">
      <alignment horizontal="center" vertical="top"/>
    </xf>
    <xf numFmtId="0" fontId="4" fillId="5" borderId="1" xfId="0" applyFont="1" applyFill="1" applyBorder="1"/>
    <xf numFmtId="14" fontId="0" fillId="0" borderId="1" xfId="0" applyNumberFormat="1" applyBorder="1" applyAlignment="1">
      <alignment horizontal="right"/>
    </xf>
    <xf numFmtId="9" fontId="0" fillId="0" borderId="1" xfId="1" applyFont="1" applyBorder="1"/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2" fontId="0" fillId="0" borderId="1" xfId="1" applyNumberFormat="1" applyFont="1" applyBorder="1"/>
    <xf numFmtId="0" fontId="4" fillId="5" borderId="3" xfId="0" applyFont="1" applyFill="1" applyBorder="1"/>
    <xf numFmtId="2" fontId="0" fillId="6" borderId="1" xfId="1" applyNumberFormat="1" applyFont="1" applyFill="1" applyBorder="1" applyAlignment="1">
      <alignment horizontal="center" vertical="center"/>
    </xf>
    <xf numFmtId="2" fontId="0" fillId="5" borderId="1" xfId="1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left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vertical="top" wrapText="1" readingOrder="1"/>
    </xf>
    <xf numFmtId="0" fontId="0" fillId="5" borderId="0" xfId="0" applyFill="1" applyAlignment="1">
      <alignment vertical="top"/>
    </xf>
    <xf numFmtId="0" fontId="5" fillId="7" borderId="0" xfId="0" applyFont="1" applyFill="1"/>
    <xf numFmtId="0" fontId="2" fillId="7" borderId="0" xfId="0" applyFont="1" applyFill="1" applyAlignment="1">
      <alignment vertical="center" wrapText="1" readingOrder="1"/>
    </xf>
    <xf numFmtId="0" fontId="6" fillId="7" borderId="0" xfId="0" applyFont="1" applyFill="1"/>
    <xf numFmtId="0" fontId="4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8606-24E8-4FCE-8C81-1CF1CA6466FF}">
  <dimension ref="A1:P47"/>
  <sheetViews>
    <sheetView topLeftCell="A26" zoomScale="90" zoomScaleNormal="90" workbookViewId="0">
      <selection activeCell="B1" sqref="B1"/>
    </sheetView>
  </sheetViews>
  <sheetFormatPr defaultRowHeight="14.4" x14ac:dyDescent="0.3"/>
  <cols>
    <col min="1" max="1" width="16.21875" bestFit="1" customWidth="1"/>
    <col min="2" max="2" width="24.77734375" bestFit="1" customWidth="1"/>
    <col min="3" max="3" width="31.44140625" bestFit="1" customWidth="1"/>
    <col min="4" max="4" width="36.44140625" customWidth="1"/>
    <col min="5" max="5" width="17.21875" bestFit="1" customWidth="1"/>
    <col min="6" max="6" width="14.5546875" bestFit="1" customWidth="1"/>
    <col min="7" max="7" width="15.21875" customWidth="1"/>
    <col min="9" max="9" width="11.77734375" customWidth="1"/>
    <col min="10" max="10" width="50.109375" style="23" customWidth="1"/>
    <col min="16" max="16" width="8.88671875" hidden="1" customWidth="1"/>
  </cols>
  <sheetData>
    <row r="1" spans="1:10" ht="15.6" x14ac:dyDescent="0.3">
      <c r="A1" s="20" t="s">
        <v>138</v>
      </c>
      <c r="B1" s="48" t="s">
        <v>269</v>
      </c>
    </row>
    <row r="2" spans="1:10" x14ac:dyDescent="0.3">
      <c r="A2" s="19" t="s">
        <v>5</v>
      </c>
      <c r="B2" s="19" t="s">
        <v>6</v>
      </c>
      <c r="C2" s="19" t="s">
        <v>7</v>
      </c>
      <c r="D2" s="19" t="s">
        <v>8</v>
      </c>
      <c r="E2" s="19" t="s">
        <v>9</v>
      </c>
      <c r="F2" s="19" t="s">
        <v>174</v>
      </c>
    </row>
    <row r="3" spans="1:10" x14ac:dyDescent="0.3">
      <c r="A3" s="1">
        <v>1</v>
      </c>
      <c r="B3" s="3" t="s">
        <v>115</v>
      </c>
      <c r="C3" s="2">
        <v>46023</v>
      </c>
      <c r="D3" s="2">
        <v>46052</v>
      </c>
      <c r="E3" s="1" t="s">
        <v>129</v>
      </c>
      <c r="F3" s="34">
        <f>C38</f>
        <v>0.66</v>
      </c>
    </row>
    <row r="4" spans="1:10" x14ac:dyDescent="0.3">
      <c r="A4" s="1">
        <v>2</v>
      </c>
      <c r="B4" s="3" t="s">
        <v>18</v>
      </c>
      <c r="C4" s="2">
        <v>46036</v>
      </c>
      <c r="D4" s="2">
        <v>46042</v>
      </c>
      <c r="E4" s="1" t="s">
        <v>131</v>
      </c>
      <c r="F4" s="34">
        <f t="shared" ref="F4:F12" si="0">C39</f>
        <v>0.5</v>
      </c>
    </row>
    <row r="5" spans="1:10" x14ac:dyDescent="0.3">
      <c r="A5" s="1">
        <v>3</v>
      </c>
      <c r="B5" s="3" t="s">
        <v>20</v>
      </c>
      <c r="C5" s="2">
        <v>46043</v>
      </c>
      <c r="D5" s="2">
        <v>46068</v>
      </c>
      <c r="E5" s="1" t="s">
        <v>131</v>
      </c>
      <c r="F5" s="34">
        <f t="shared" si="0"/>
        <v>0.5</v>
      </c>
      <c r="H5" s="15"/>
    </row>
    <row r="6" spans="1:10" x14ac:dyDescent="0.3">
      <c r="A6" s="1">
        <v>4</v>
      </c>
      <c r="B6" s="3" t="s">
        <v>116</v>
      </c>
      <c r="C6" s="2">
        <v>46054</v>
      </c>
      <c r="D6" s="2">
        <v>46068</v>
      </c>
      <c r="E6" s="1" t="s">
        <v>10</v>
      </c>
      <c r="F6" s="34">
        <f t="shared" si="0"/>
        <v>0.4</v>
      </c>
      <c r="H6" s="15"/>
    </row>
    <row r="7" spans="1:10" x14ac:dyDescent="0.3">
      <c r="A7" s="1">
        <v>5</v>
      </c>
      <c r="B7" s="3" t="s">
        <v>119</v>
      </c>
      <c r="C7" s="2">
        <v>46043</v>
      </c>
      <c r="D7" s="2">
        <v>46074</v>
      </c>
      <c r="E7" s="1" t="s">
        <v>10</v>
      </c>
      <c r="F7" s="34">
        <f t="shared" si="0"/>
        <v>0.3</v>
      </c>
      <c r="H7" s="15"/>
    </row>
    <row r="8" spans="1:10" x14ac:dyDescent="0.3">
      <c r="A8" s="1">
        <v>6</v>
      </c>
      <c r="B8" s="3" t="s">
        <v>118</v>
      </c>
      <c r="C8" s="2">
        <v>46043</v>
      </c>
      <c r="D8" s="2">
        <v>46074</v>
      </c>
      <c r="E8" s="1" t="s">
        <v>10</v>
      </c>
      <c r="F8" s="34">
        <f t="shared" si="0"/>
        <v>0</v>
      </c>
      <c r="H8" s="15"/>
    </row>
    <row r="9" spans="1:10" x14ac:dyDescent="0.3">
      <c r="A9" s="1">
        <v>7</v>
      </c>
      <c r="B9" s="3" t="s">
        <v>19</v>
      </c>
      <c r="C9" s="2">
        <v>46054</v>
      </c>
      <c r="D9" s="2">
        <v>46081</v>
      </c>
      <c r="E9" s="1" t="s">
        <v>11</v>
      </c>
      <c r="F9" s="34">
        <f t="shared" si="0"/>
        <v>0</v>
      </c>
      <c r="H9" s="15"/>
    </row>
    <row r="10" spans="1:10" x14ac:dyDescent="0.3">
      <c r="A10" s="1">
        <v>8</v>
      </c>
      <c r="B10" s="3" t="s">
        <v>21</v>
      </c>
      <c r="C10" s="2">
        <v>46082</v>
      </c>
      <c r="D10" s="2">
        <v>46142</v>
      </c>
      <c r="E10" s="1" t="s">
        <v>11</v>
      </c>
      <c r="F10" s="34">
        <f t="shared" si="0"/>
        <v>0</v>
      </c>
      <c r="H10" s="15"/>
    </row>
    <row r="11" spans="1:10" x14ac:dyDescent="0.3">
      <c r="A11" s="1">
        <v>9</v>
      </c>
      <c r="B11" s="3" t="s">
        <v>117</v>
      </c>
      <c r="C11" s="2">
        <v>46082</v>
      </c>
      <c r="D11" s="2">
        <v>46173</v>
      </c>
      <c r="E11" s="1" t="s">
        <v>11</v>
      </c>
      <c r="F11" s="34">
        <f t="shared" si="0"/>
        <v>0</v>
      </c>
      <c r="H11" s="15"/>
    </row>
    <row r="12" spans="1:10" x14ac:dyDescent="0.3">
      <c r="A12" s="1">
        <v>10</v>
      </c>
      <c r="B12" s="3" t="s">
        <v>22</v>
      </c>
      <c r="C12" s="2">
        <v>46174</v>
      </c>
      <c r="D12" s="2">
        <v>46174</v>
      </c>
      <c r="E12" s="1" t="s">
        <v>11</v>
      </c>
      <c r="F12" s="34">
        <f t="shared" si="0"/>
        <v>0</v>
      </c>
      <c r="H12" s="15"/>
    </row>
    <row r="14" spans="1:10" ht="15.6" x14ac:dyDescent="0.3">
      <c r="A14" s="20" t="s">
        <v>139</v>
      </c>
      <c r="B14" s="49" t="s">
        <v>270</v>
      </c>
      <c r="D14" s="52" t="s">
        <v>265</v>
      </c>
      <c r="E14" s="52"/>
    </row>
    <row r="15" spans="1:10" ht="27.6" x14ac:dyDescent="0.3">
      <c r="A15" s="19" t="s">
        <v>12</v>
      </c>
      <c r="B15" s="19" t="s">
        <v>244</v>
      </c>
      <c r="C15" s="19" t="s">
        <v>6</v>
      </c>
      <c r="D15" s="19" t="s">
        <v>120</v>
      </c>
      <c r="E15" s="13" t="s">
        <v>1</v>
      </c>
      <c r="F15" s="19" t="s">
        <v>13</v>
      </c>
      <c r="G15" s="19" t="s">
        <v>121</v>
      </c>
      <c r="H15" s="19" t="s">
        <v>2</v>
      </c>
      <c r="I15" s="19" t="s">
        <v>132</v>
      </c>
      <c r="J15" s="13" t="s">
        <v>133</v>
      </c>
    </row>
    <row r="16" spans="1:10" ht="27.6" x14ac:dyDescent="0.3">
      <c r="A16" s="9">
        <v>101</v>
      </c>
      <c r="B16" s="9">
        <v>1</v>
      </c>
      <c r="C16" s="10" t="str">
        <f t="shared" ref="C16:C34" si="1">VLOOKUP(B16,A$2:B$12,2,0)</f>
        <v>Dev (Phase 1)</v>
      </c>
      <c r="D16" s="12" t="s">
        <v>23</v>
      </c>
      <c r="E16" s="9" t="s">
        <v>10</v>
      </c>
      <c r="F16" s="9" t="s">
        <v>29</v>
      </c>
      <c r="G16" s="11">
        <v>46052</v>
      </c>
      <c r="H16" s="9" t="s">
        <v>14</v>
      </c>
      <c r="I16" s="11">
        <f ca="1">TODAY()</f>
        <v>46050</v>
      </c>
      <c r="J16" s="46"/>
    </row>
    <row r="17" spans="1:16" ht="27.6" x14ac:dyDescent="0.3">
      <c r="A17" s="9">
        <v>102</v>
      </c>
      <c r="B17" s="9">
        <v>1</v>
      </c>
      <c r="C17" s="10" t="str">
        <f t="shared" si="1"/>
        <v>Dev (Phase 1)</v>
      </c>
      <c r="D17" s="12" t="s">
        <v>24</v>
      </c>
      <c r="E17" s="9" t="s">
        <v>129</v>
      </c>
      <c r="F17" s="9" t="s">
        <v>29</v>
      </c>
      <c r="G17" s="11">
        <v>46052</v>
      </c>
      <c r="H17" s="9" t="s">
        <v>15</v>
      </c>
      <c r="I17" s="11">
        <f t="shared" ref="I17:I34" ca="1" si="2">TODAY()</f>
        <v>46050</v>
      </c>
      <c r="J17" s="46" t="s">
        <v>141</v>
      </c>
      <c r="P17" t="s">
        <v>1</v>
      </c>
    </row>
    <row r="18" spans="1:16" x14ac:dyDescent="0.3">
      <c r="A18" s="9">
        <v>103</v>
      </c>
      <c r="B18" s="9">
        <v>1</v>
      </c>
      <c r="C18" s="10" t="str">
        <f t="shared" si="1"/>
        <v>Dev (Phase 1)</v>
      </c>
      <c r="D18" s="12" t="s">
        <v>25</v>
      </c>
      <c r="E18" s="9" t="s">
        <v>129</v>
      </c>
      <c r="F18" s="9" t="s">
        <v>29</v>
      </c>
      <c r="G18" s="11">
        <v>46052</v>
      </c>
      <c r="H18" s="9" t="s">
        <v>14</v>
      </c>
      <c r="I18" s="11">
        <f t="shared" ca="1" si="2"/>
        <v>46050</v>
      </c>
      <c r="J18" s="46"/>
      <c r="P18" t="s">
        <v>11</v>
      </c>
    </row>
    <row r="19" spans="1:16" ht="27.6" x14ac:dyDescent="0.3">
      <c r="A19" s="9">
        <v>201</v>
      </c>
      <c r="B19" s="9">
        <v>2</v>
      </c>
      <c r="C19" s="10" t="str">
        <f t="shared" si="1"/>
        <v>Legal &amp; Contracts</v>
      </c>
      <c r="D19" s="12" t="s">
        <v>37</v>
      </c>
      <c r="E19" s="9" t="s">
        <v>131</v>
      </c>
      <c r="F19" s="9" t="s">
        <v>125</v>
      </c>
      <c r="G19" s="11">
        <v>46043</v>
      </c>
      <c r="H19" s="9" t="s">
        <v>15</v>
      </c>
      <c r="I19" s="11">
        <f t="shared" ca="1" si="2"/>
        <v>46050</v>
      </c>
      <c r="J19" s="47"/>
      <c r="P19" t="s">
        <v>127</v>
      </c>
    </row>
    <row r="20" spans="1:16" x14ac:dyDescent="0.3">
      <c r="A20" s="9">
        <v>301</v>
      </c>
      <c r="B20" s="9">
        <v>3</v>
      </c>
      <c r="C20" s="10" t="str">
        <f t="shared" si="1"/>
        <v>Collaboration Meetings</v>
      </c>
      <c r="D20" s="12" t="s">
        <v>30</v>
      </c>
      <c r="E20" s="9" t="s">
        <v>126</v>
      </c>
      <c r="F20" s="9" t="s">
        <v>125</v>
      </c>
      <c r="G20" s="11">
        <v>46053</v>
      </c>
      <c r="H20" s="9" t="s">
        <v>15</v>
      </c>
      <c r="I20" s="11">
        <f t="shared" ca="1" si="2"/>
        <v>46050</v>
      </c>
      <c r="J20" s="46"/>
      <c r="P20" t="s">
        <v>126</v>
      </c>
    </row>
    <row r="21" spans="1:16" ht="27.6" x14ac:dyDescent="0.3">
      <c r="A21" s="9">
        <v>302</v>
      </c>
      <c r="B21" s="9">
        <v>3</v>
      </c>
      <c r="C21" s="10" t="str">
        <f t="shared" si="1"/>
        <v>Collaboration Meetings</v>
      </c>
      <c r="D21" s="12" t="s">
        <v>31</v>
      </c>
      <c r="E21" s="9" t="s">
        <v>10</v>
      </c>
      <c r="F21" s="9" t="s">
        <v>125</v>
      </c>
      <c r="G21" s="11">
        <v>46068</v>
      </c>
      <c r="H21" s="9" t="s">
        <v>15</v>
      </c>
      <c r="I21" s="11">
        <f t="shared" ca="1" si="2"/>
        <v>46050</v>
      </c>
      <c r="J21" s="46" t="s">
        <v>266</v>
      </c>
      <c r="P21" t="s">
        <v>129</v>
      </c>
    </row>
    <row r="22" spans="1:16" x14ac:dyDescent="0.3">
      <c r="A22" s="9">
        <v>303</v>
      </c>
      <c r="B22" s="9">
        <v>3</v>
      </c>
      <c r="C22" s="10" t="str">
        <f t="shared" si="1"/>
        <v>Collaboration Meetings</v>
      </c>
      <c r="D22" s="12" t="s">
        <v>32</v>
      </c>
      <c r="E22" s="9" t="s">
        <v>11</v>
      </c>
      <c r="F22" s="9" t="s">
        <v>125</v>
      </c>
      <c r="G22" s="11">
        <v>46068</v>
      </c>
      <c r="H22" s="9" t="s">
        <v>15</v>
      </c>
      <c r="I22" s="11">
        <f t="shared" ca="1" si="2"/>
        <v>46050</v>
      </c>
      <c r="J22" s="46"/>
    </row>
    <row r="23" spans="1:16" ht="27.6" x14ac:dyDescent="0.3">
      <c r="A23" s="9">
        <v>401</v>
      </c>
      <c r="B23" s="9">
        <v>4</v>
      </c>
      <c r="C23" s="10" t="str">
        <f t="shared" si="1"/>
        <v>Dev (Phase 2)</v>
      </c>
      <c r="D23" s="12" t="s">
        <v>27</v>
      </c>
      <c r="E23" s="9" t="s">
        <v>10</v>
      </c>
      <c r="F23" s="9" t="s">
        <v>29</v>
      </c>
      <c r="G23" s="11">
        <v>46068</v>
      </c>
      <c r="H23" s="9" t="s">
        <v>15</v>
      </c>
      <c r="I23" s="11">
        <f t="shared" ca="1" si="2"/>
        <v>46050</v>
      </c>
      <c r="J23" s="46"/>
    </row>
    <row r="24" spans="1:16" ht="41.4" x14ac:dyDescent="0.3">
      <c r="A24" s="9">
        <v>402</v>
      </c>
      <c r="B24" s="9">
        <v>4</v>
      </c>
      <c r="C24" s="10" t="str">
        <f t="shared" si="1"/>
        <v>Dev (Phase 2)</v>
      </c>
      <c r="D24" s="12" t="s">
        <v>28</v>
      </c>
      <c r="E24" s="9" t="s">
        <v>129</v>
      </c>
      <c r="F24" s="9" t="s">
        <v>29</v>
      </c>
      <c r="G24" s="11">
        <v>46068</v>
      </c>
      <c r="H24" s="9" t="s">
        <v>15</v>
      </c>
      <c r="I24" s="11">
        <f t="shared" ca="1" si="2"/>
        <v>46050</v>
      </c>
      <c r="J24" s="46" t="s">
        <v>140</v>
      </c>
    </row>
    <row r="25" spans="1:16" ht="27.6" x14ac:dyDescent="0.3">
      <c r="A25" s="9">
        <v>501</v>
      </c>
      <c r="B25" s="9">
        <v>5</v>
      </c>
      <c r="C25" s="10" t="str">
        <f t="shared" si="1"/>
        <v>Website Updates</v>
      </c>
      <c r="D25" s="12" t="s">
        <v>33</v>
      </c>
      <c r="E25" s="9" t="s">
        <v>11</v>
      </c>
      <c r="F25" s="9" t="s">
        <v>125</v>
      </c>
      <c r="G25" s="11">
        <v>46074</v>
      </c>
      <c r="H25" s="9" t="s">
        <v>14</v>
      </c>
      <c r="I25" s="11">
        <f t="shared" ca="1" si="2"/>
        <v>46050</v>
      </c>
      <c r="J25" s="46"/>
    </row>
    <row r="26" spans="1:16" x14ac:dyDescent="0.3">
      <c r="A26" s="9">
        <v>502</v>
      </c>
      <c r="B26" s="9">
        <v>5</v>
      </c>
      <c r="C26" s="10" t="str">
        <f t="shared" si="1"/>
        <v>Website Updates</v>
      </c>
      <c r="D26" s="12" t="s">
        <v>4</v>
      </c>
      <c r="E26" s="9" t="s">
        <v>11</v>
      </c>
      <c r="F26" s="9" t="s">
        <v>29</v>
      </c>
      <c r="G26" s="11">
        <v>46074</v>
      </c>
      <c r="H26" s="9" t="s">
        <v>14</v>
      </c>
      <c r="I26" s="11">
        <f t="shared" ca="1" si="2"/>
        <v>46050</v>
      </c>
      <c r="J26" s="46"/>
    </row>
    <row r="27" spans="1:16" x14ac:dyDescent="0.3">
      <c r="A27" s="9">
        <v>601</v>
      </c>
      <c r="B27" s="9">
        <v>6</v>
      </c>
      <c r="C27" s="10" t="str">
        <f t="shared" si="1"/>
        <v>Marketing &amp; Ad Plan</v>
      </c>
      <c r="D27" s="12" t="s">
        <v>34</v>
      </c>
      <c r="E27" s="9" t="s">
        <v>11</v>
      </c>
      <c r="F27" s="9" t="s">
        <v>124</v>
      </c>
      <c r="G27" s="11">
        <v>46074</v>
      </c>
      <c r="H27" s="9" t="s">
        <v>15</v>
      </c>
      <c r="I27" s="11">
        <f t="shared" ca="1" si="2"/>
        <v>46050</v>
      </c>
      <c r="J27" s="46"/>
    </row>
    <row r="28" spans="1:16" x14ac:dyDescent="0.3">
      <c r="A28" s="9">
        <v>602</v>
      </c>
      <c r="B28" s="9">
        <v>6</v>
      </c>
      <c r="C28" s="10" t="str">
        <f t="shared" si="1"/>
        <v>Marketing &amp; Ad Plan</v>
      </c>
      <c r="D28" s="12" t="s">
        <v>35</v>
      </c>
      <c r="E28" s="9" t="s">
        <v>11</v>
      </c>
      <c r="F28" s="9" t="s">
        <v>124</v>
      </c>
      <c r="G28" s="11">
        <v>46074</v>
      </c>
      <c r="H28" s="9" t="s">
        <v>15</v>
      </c>
      <c r="I28" s="11">
        <f t="shared" ca="1" si="2"/>
        <v>46050</v>
      </c>
      <c r="J28" s="46"/>
    </row>
    <row r="29" spans="1:16" x14ac:dyDescent="0.3">
      <c r="A29" s="9">
        <v>603</v>
      </c>
      <c r="B29" s="9">
        <v>6</v>
      </c>
      <c r="C29" s="10" t="str">
        <f t="shared" si="1"/>
        <v>Marketing &amp; Ad Plan</v>
      </c>
      <c r="D29" s="12" t="s">
        <v>36</v>
      </c>
      <c r="E29" s="9" t="s">
        <v>11</v>
      </c>
      <c r="F29" s="9" t="s">
        <v>124</v>
      </c>
      <c r="G29" s="11">
        <v>46074</v>
      </c>
      <c r="H29" s="9" t="s">
        <v>15</v>
      </c>
      <c r="I29" s="11">
        <f t="shared" ca="1" si="2"/>
        <v>46050</v>
      </c>
      <c r="J29" s="45"/>
    </row>
    <row r="30" spans="1:16" x14ac:dyDescent="0.3">
      <c r="A30" s="9">
        <v>701</v>
      </c>
      <c r="B30" s="9">
        <v>7</v>
      </c>
      <c r="C30" s="10" t="str">
        <f t="shared" si="1"/>
        <v xml:space="preserve">UAT &amp; Security </v>
      </c>
      <c r="D30" s="12" t="s">
        <v>38</v>
      </c>
      <c r="E30" s="9" t="s">
        <v>11</v>
      </c>
      <c r="F30" s="9" t="s">
        <v>29</v>
      </c>
      <c r="G30" s="11">
        <v>46081</v>
      </c>
      <c r="H30" s="9" t="s">
        <v>14</v>
      </c>
      <c r="I30" s="11">
        <f t="shared" ca="1" si="2"/>
        <v>46050</v>
      </c>
      <c r="J30" s="44"/>
    </row>
    <row r="31" spans="1:16" ht="27.6" x14ac:dyDescent="0.3">
      <c r="A31" s="9">
        <v>702</v>
      </c>
      <c r="B31" s="9">
        <v>7</v>
      </c>
      <c r="C31" s="10" t="str">
        <f t="shared" si="1"/>
        <v xml:space="preserve">UAT &amp; Security </v>
      </c>
      <c r="D31" s="12" t="s">
        <v>40</v>
      </c>
      <c r="E31" s="9" t="s">
        <v>11</v>
      </c>
      <c r="F31" s="9" t="s">
        <v>124</v>
      </c>
      <c r="G31" s="11">
        <v>46081</v>
      </c>
      <c r="H31" s="9" t="s">
        <v>15</v>
      </c>
      <c r="I31" s="11">
        <f t="shared" ca="1" si="2"/>
        <v>46050</v>
      </c>
      <c r="J31" s="45"/>
    </row>
    <row r="32" spans="1:16" ht="27.6" x14ac:dyDescent="0.3">
      <c r="A32" s="9">
        <v>801</v>
      </c>
      <c r="B32" s="9">
        <v>8</v>
      </c>
      <c r="C32" s="10" t="str">
        <f t="shared" si="1"/>
        <v>Pilot (Go-Live)</v>
      </c>
      <c r="D32" s="12" t="s">
        <v>26</v>
      </c>
      <c r="E32" s="9" t="s">
        <v>11</v>
      </c>
      <c r="F32" s="9" t="s">
        <v>124</v>
      </c>
      <c r="G32" s="11">
        <v>46147</v>
      </c>
      <c r="H32" s="9" t="s">
        <v>14</v>
      </c>
      <c r="I32" s="11">
        <f t="shared" ca="1" si="2"/>
        <v>46050</v>
      </c>
      <c r="J32" s="45"/>
    </row>
    <row r="33" spans="1:10" x14ac:dyDescent="0.3">
      <c r="A33" s="9">
        <v>901</v>
      </c>
      <c r="B33" s="9">
        <v>9</v>
      </c>
      <c r="C33" s="10" t="str">
        <f t="shared" si="1"/>
        <v>Product Metrics</v>
      </c>
      <c r="D33" s="12" t="s">
        <v>16</v>
      </c>
      <c r="E33" s="9" t="s">
        <v>11</v>
      </c>
      <c r="F33" s="9" t="s">
        <v>29</v>
      </c>
      <c r="G33" s="11">
        <v>46096</v>
      </c>
      <c r="H33" s="9" t="s">
        <v>15</v>
      </c>
      <c r="I33" s="11">
        <f t="shared" ca="1" si="2"/>
        <v>46050</v>
      </c>
      <c r="J33" s="44"/>
    </row>
    <row r="34" spans="1:10" x14ac:dyDescent="0.3">
      <c r="A34" s="9">
        <v>902</v>
      </c>
      <c r="B34" s="9">
        <v>9</v>
      </c>
      <c r="C34" s="10" t="str">
        <f t="shared" si="1"/>
        <v>Product Metrics</v>
      </c>
      <c r="D34" s="12" t="s">
        <v>39</v>
      </c>
      <c r="E34" s="9" t="s">
        <v>11</v>
      </c>
      <c r="F34" s="9" t="s">
        <v>29</v>
      </c>
      <c r="G34" s="11">
        <v>46173</v>
      </c>
      <c r="H34" s="9" t="s">
        <v>17</v>
      </c>
      <c r="I34" s="11">
        <f t="shared" ca="1" si="2"/>
        <v>46050</v>
      </c>
      <c r="J34" s="44"/>
    </row>
    <row r="36" spans="1:10" ht="28.8" customHeight="1" x14ac:dyDescent="0.3">
      <c r="A36" s="20" t="s">
        <v>92</v>
      </c>
      <c r="B36" s="48" t="s">
        <v>271</v>
      </c>
      <c r="D36" s="51" t="s">
        <v>264</v>
      </c>
      <c r="E36" s="51"/>
    </row>
    <row r="37" spans="1:10" ht="41.4" x14ac:dyDescent="0.3">
      <c r="A37" s="19" t="s">
        <v>5</v>
      </c>
      <c r="B37" s="19" t="s">
        <v>6</v>
      </c>
      <c r="C37" s="13" t="s">
        <v>136</v>
      </c>
      <c r="D37" s="19" t="s">
        <v>135</v>
      </c>
      <c r="E37" s="19" t="s">
        <v>134</v>
      </c>
      <c r="F37" s="19" t="s">
        <v>1</v>
      </c>
      <c r="G37" s="19" t="s">
        <v>137</v>
      </c>
      <c r="H37" s="19" t="s">
        <v>13</v>
      </c>
    </row>
    <row r="38" spans="1:10" x14ac:dyDescent="0.3">
      <c r="A38" s="1">
        <v>1</v>
      </c>
      <c r="B38" s="3" t="s">
        <v>115</v>
      </c>
      <c r="C38" s="40">
        <v>0.66</v>
      </c>
      <c r="D38" s="10">
        <v>0.15</v>
      </c>
      <c r="E38" s="18">
        <f>C38*D38</f>
        <v>9.9000000000000005E-2</v>
      </c>
      <c r="F38" s="1" t="s">
        <v>10</v>
      </c>
      <c r="G38" s="16">
        <f>E38</f>
        <v>9.9000000000000005E-2</v>
      </c>
      <c r="H38" s="7" t="s">
        <v>29</v>
      </c>
    </row>
    <row r="39" spans="1:10" x14ac:dyDescent="0.3">
      <c r="A39" s="1">
        <v>2</v>
      </c>
      <c r="B39" s="3" t="s">
        <v>18</v>
      </c>
      <c r="C39" s="40">
        <v>0.5</v>
      </c>
      <c r="D39" s="10">
        <v>0.05</v>
      </c>
      <c r="E39" s="18">
        <f t="shared" ref="E39:E47" si="3">C39*D39</f>
        <v>2.5000000000000001E-2</v>
      </c>
      <c r="F39" s="1" t="s">
        <v>131</v>
      </c>
      <c r="G39" s="16">
        <f>G38+E39</f>
        <v>0.124</v>
      </c>
      <c r="H39" s="7" t="s">
        <v>125</v>
      </c>
    </row>
    <row r="40" spans="1:10" x14ac:dyDescent="0.3">
      <c r="A40" s="1">
        <v>3</v>
      </c>
      <c r="B40" s="3" t="s">
        <v>20</v>
      </c>
      <c r="C40" s="40">
        <v>0.5</v>
      </c>
      <c r="D40" s="10">
        <v>0.05</v>
      </c>
      <c r="E40" s="18">
        <f t="shared" si="3"/>
        <v>2.5000000000000001E-2</v>
      </c>
      <c r="F40" s="1" t="s">
        <v>10</v>
      </c>
      <c r="G40" s="16">
        <f t="shared" ref="G40:G47" si="4">G39+E40</f>
        <v>0.14899999999999999</v>
      </c>
      <c r="H40" s="7" t="s">
        <v>125</v>
      </c>
    </row>
    <row r="41" spans="1:10" x14ac:dyDescent="0.3">
      <c r="A41" s="1">
        <v>4</v>
      </c>
      <c r="B41" s="3" t="s">
        <v>116</v>
      </c>
      <c r="C41" s="40">
        <v>0.4</v>
      </c>
      <c r="D41" s="10">
        <v>0.2</v>
      </c>
      <c r="E41" s="18">
        <f>C41*D41</f>
        <v>8.0000000000000016E-2</v>
      </c>
      <c r="F41" s="1" t="s">
        <v>10</v>
      </c>
      <c r="G41" s="16">
        <f t="shared" si="4"/>
        <v>0.22900000000000001</v>
      </c>
      <c r="H41" s="7" t="s">
        <v>29</v>
      </c>
    </row>
    <row r="42" spans="1:10" x14ac:dyDescent="0.3">
      <c r="A42" s="1">
        <v>5</v>
      </c>
      <c r="B42" s="3" t="s">
        <v>119</v>
      </c>
      <c r="C42" s="40">
        <v>0.3</v>
      </c>
      <c r="D42" s="10">
        <v>0.15</v>
      </c>
      <c r="E42" s="18">
        <f t="shared" si="3"/>
        <v>4.4999999999999998E-2</v>
      </c>
      <c r="F42" s="1" t="s">
        <v>11</v>
      </c>
      <c r="G42" s="16">
        <f t="shared" si="4"/>
        <v>0.27400000000000002</v>
      </c>
      <c r="H42" s="7" t="s">
        <v>124</v>
      </c>
    </row>
    <row r="43" spans="1:10" x14ac:dyDescent="0.3">
      <c r="A43" s="1">
        <v>6</v>
      </c>
      <c r="B43" s="3" t="s">
        <v>118</v>
      </c>
      <c r="C43" s="40">
        <v>0</v>
      </c>
      <c r="D43" s="10">
        <v>0.15</v>
      </c>
      <c r="E43" s="18">
        <f t="shared" si="3"/>
        <v>0</v>
      </c>
      <c r="F43" s="1" t="s">
        <v>11</v>
      </c>
      <c r="G43" s="16">
        <f t="shared" si="4"/>
        <v>0.27400000000000002</v>
      </c>
      <c r="H43" s="7" t="s">
        <v>125</v>
      </c>
    </row>
    <row r="44" spans="1:10" x14ac:dyDescent="0.3">
      <c r="A44" s="1">
        <v>7</v>
      </c>
      <c r="B44" s="3" t="s">
        <v>19</v>
      </c>
      <c r="C44" s="17">
        <v>0</v>
      </c>
      <c r="D44" s="10">
        <v>0.2</v>
      </c>
      <c r="E44" s="18">
        <f t="shared" si="3"/>
        <v>0</v>
      </c>
      <c r="F44" s="1" t="s">
        <v>11</v>
      </c>
      <c r="G44" s="16">
        <f t="shared" si="4"/>
        <v>0.27400000000000002</v>
      </c>
      <c r="H44" s="7" t="s">
        <v>124</v>
      </c>
    </row>
    <row r="45" spans="1:10" x14ac:dyDescent="0.3">
      <c r="A45" s="1">
        <v>8</v>
      </c>
      <c r="B45" s="3" t="s">
        <v>21</v>
      </c>
      <c r="C45" s="17">
        <v>0</v>
      </c>
      <c r="D45" s="10">
        <v>0</v>
      </c>
      <c r="E45" s="18">
        <f t="shared" si="3"/>
        <v>0</v>
      </c>
      <c r="F45" s="1" t="s">
        <v>11</v>
      </c>
      <c r="G45" s="16">
        <f t="shared" si="4"/>
        <v>0.27400000000000002</v>
      </c>
      <c r="H45" s="7"/>
    </row>
    <row r="46" spans="1:10" x14ac:dyDescent="0.3">
      <c r="A46" s="1">
        <v>9</v>
      </c>
      <c r="B46" s="3" t="s">
        <v>117</v>
      </c>
      <c r="C46" s="17">
        <v>0</v>
      </c>
      <c r="D46" s="10">
        <v>0.05</v>
      </c>
      <c r="E46" s="18">
        <f t="shared" si="3"/>
        <v>0</v>
      </c>
      <c r="F46" s="1" t="s">
        <v>11</v>
      </c>
      <c r="G46" s="16">
        <f t="shared" si="4"/>
        <v>0.27400000000000002</v>
      </c>
      <c r="H46" s="7" t="s">
        <v>29</v>
      </c>
    </row>
    <row r="47" spans="1:10" x14ac:dyDescent="0.3">
      <c r="A47" s="1">
        <v>10</v>
      </c>
      <c r="B47" s="3" t="s">
        <v>22</v>
      </c>
      <c r="C47" s="17">
        <v>0</v>
      </c>
      <c r="D47" s="10">
        <v>0</v>
      </c>
      <c r="E47" s="18">
        <f t="shared" si="3"/>
        <v>0</v>
      </c>
      <c r="F47" s="1" t="s">
        <v>11</v>
      </c>
      <c r="G47" s="16">
        <f t="shared" si="4"/>
        <v>0.27400000000000002</v>
      </c>
      <c r="H47" s="7"/>
    </row>
  </sheetData>
  <mergeCells count="2">
    <mergeCell ref="D36:E36"/>
    <mergeCell ref="D14:E14"/>
  </mergeCells>
  <conditionalFormatting sqref="E16:E34">
    <cfRule type="containsText" dxfId="5" priority="1" operator="containsText" text="Completed">
      <formula>NOT(ISERROR(SEARCH("Completed",E16)))</formula>
    </cfRule>
    <cfRule type="containsText" dxfId="4" priority="2" operator="containsText" text="Pending">
      <formula>NOT(ISERROR(SEARCH("Pending",E16)))</formula>
    </cfRule>
    <cfRule type="containsText" dxfId="3" priority="3" operator="containsText" text="In Progress">
      <formula>NOT(ISERROR(SEARCH("In Progress",E16)))</formula>
    </cfRule>
  </conditionalFormatting>
  <dataValidations count="1">
    <dataValidation type="list" allowBlank="1" showInputMessage="1" showErrorMessage="1" sqref="E16:E34" xr:uid="{9BCC7A92-2DF4-4DC9-A2CC-3DDF1431E208}">
      <formula1>$P$18:$P$21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89AF-B4EB-4F3A-9CB8-B1735645AF26}">
  <dimension ref="A2:I17"/>
  <sheetViews>
    <sheetView zoomScale="90" zoomScaleNormal="90" workbookViewId="0">
      <selection activeCell="E22" sqref="E22"/>
    </sheetView>
  </sheetViews>
  <sheetFormatPr defaultRowHeight="14.4" x14ac:dyDescent="0.3"/>
  <cols>
    <col min="1" max="1" width="17.88671875" customWidth="1"/>
    <col min="2" max="2" width="38.88671875" customWidth="1"/>
    <col min="3" max="3" width="13.21875" customWidth="1"/>
    <col min="6" max="6" width="9.88671875" bestFit="1" customWidth="1"/>
    <col min="7" max="7" width="19.21875" bestFit="1" customWidth="1"/>
    <col min="8" max="8" width="10.109375" bestFit="1" customWidth="1"/>
    <col min="9" max="9" width="79.33203125" style="6" customWidth="1"/>
  </cols>
  <sheetData>
    <row r="2" spans="1:9" x14ac:dyDescent="0.3">
      <c r="A2" s="21" t="s">
        <v>94</v>
      </c>
      <c r="B2" s="50" t="s">
        <v>272</v>
      </c>
    </row>
    <row r="3" spans="1:9" x14ac:dyDescent="0.3">
      <c r="A3" s="14" t="s">
        <v>0</v>
      </c>
      <c r="B3" s="14" t="s">
        <v>78</v>
      </c>
      <c r="C3" s="14" t="s">
        <v>84</v>
      </c>
      <c r="D3" s="14" t="s">
        <v>85</v>
      </c>
      <c r="E3" s="14" t="s">
        <v>1</v>
      </c>
      <c r="F3" s="14" t="s">
        <v>122</v>
      </c>
      <c r="G3" s="14" t="s">
        <v>88</v>
      </c>
      <c r="H3" s="14" t="s">
        <v>1</v>
      </c>
      <c r="I3" s="24" t="s">
        <v>133</v>
      </c>
    </row>
    <row r="4" spans="1:9" ht="28.8" x14ac:dyDescent="0.3">
      <c r="A4" s="25">
        <v>1</v>
      </c>
      <c r="B4" s="26" t="s">
        <v>79</v>
      </c>
      <c r="C4" s="26" t="s">
        <v>14</v>
      </c>
      <c r="D4" s="26" t="s">
        <v>14</v>
      </c>
      <c r="E4" s="26" t="s">
        <v>86</v>
      </c>
      <c r="F4" s="26" t="s">
        <v>29</v>
      </c>
      <c r="G4" s="26" t="s">
        <v>89</v>
      </c>
      <c r="H4" s="26" t="s">
        <v>126</v>
      </c>
      <c r="I4" s="43" t="s">
        <v>142</v>
      </c>
    </row>
    <row r="5" spans="1:9" ht="28.8" x14ac:dyDescent="0.3">
      <c r="A5" s="25">
        <v>2</v>
      </c>
      <c r="B5" s="26" t="s">
        <v>80</v>
      </c>
      <c r="C5" s="26" t="s">
        <v>15</v>
      </c>
      <c r="D5" s="26" t="s">
        <v>14</v>
      </c>
      <c r="E5" s="26" t="s">
        <v>86</v>
      </c>
      <c r="F5" s="26" t="s">
        <v>29</v>
      </c>
      <c r="G5" s="26" t="s">
        <v>89</v>
      </c>
      <c r="H5" s="26" t="s">
        <v>126</v>
      </c>
      <c r="I5" s="43" t="s">
        <v>143</v>
      </c>
    </row>
    <row r="6" spans="1:9" x14ac:dyDescent="0.3">
      <c r="A6" s="25">
        <v>3</v>
      </c>
      <c r="B6" s="26" t="s">
        <v>123</v>
      </c>
      <c r="C6" s="26" t="s">
        <v>15</v>
      </c>
      <c r="D6" s="26" t="s">
        <v>14</v>
      </c>
      <c r="E6" s="26" t="s">
        <v>87</v>
      </c>
      <c r="F6" s="26" t="s">
        <v>124</v>
      </c>
      <c r="G6" s="26" t="s">
        <v>90</v>
      </c>
      <c r="H6" s="26" t="s">
        <v>126</v>
      </c>
      <c r="I6" s="43"/>
    </row>
    <row r="7" spans="1:9" x14ac:dyDescent="0.3">
      <c r="A7" s="25">
        <v>4</v>
      </c>
      <c r="B7" s="26" t="s">
        <v>82</v>
      </c>
      <c r="C7" s="26" t="s">
        <v>15</v>
      </c>
      <c r="D7" s="26" t="s">
        <v>15</v>
      </c>
      <c r="E7" s="26" t="s">
        <v>87</v>
      </c>
      <c r="F7" s="26" t="s">
        <v>125</v>
      </c>
      <c r="G7" s="26" t="s">
        <v>91</v>
      </c>
      <c r="H7" s="26" t="s">
        <v>126</v>
      </c>
      <c r="I7" s="43"/>
    </row>
    <row r="8" spans="1:9" x14ac:dyDescent="0.3">
      <c r="A8" s="25">
        <v>5</v>
      </c>
      <c r="B8" s="26" t="s">
        <v>83</v>
      </c>
      <c r="C8" s="26" t="s">
        <v>17</v>
      </c>
      <c r="D8" s="26" t="s">
        <v>15</v>
      </c>
      <c r="E8" s="26" t="s">
        <v>87</v>
      </c>
      <c r="F8" s="26" t="s">
        <v>125</v>
      </c>
      <c r="G8" s="26" t="s">
        <v>3</v>
      </c>
      <c r="H8" s="26" t="s">
        <v>127</v>
      </c>
      <c r="I8" s="43"/>
    </row>
    <row r="11" spans="1:9" x14ac:dyDescent="0.3">
      <c r="A11" s="22" t="s">
        <v>96</v>
      </c>
      <c r="B11" s="50" t="s">
        <v>273</v>
      </c>
    </row>
    <row r="12" spans="1:9" x14ac:dyDescent="0.3">
      <c r="A12" s="14" t="s">
        <v>130</v>
      </c>
      <c r="B12" s="14" t="s">
        <v>128</v>
      </c>
      <c r="C12" s="14" t="s">
        <v>129</v>
      </c>
    </row>
    <row r="13" spans="1:9" x14ac:dyDescent="0.3">
      <c r="A13" s="8">
        <v>46010</v>
      </c>
      <c r="B13" s="7">
        <v>5</v>
      </c>
      <c r="C13" s="7">
        <v>0</v>
      </c>
    </row>
    <row r="14" spans="1:9" x14ac:dyDescent="0.3">
      <c r="A14" s="8">
        <v>46017</v>
      </c>
      <c r="B14" s="7">
        <v>14</v>
      </c>
      <c r="C14" s="7">
        <v>0</v>
      </c>
    </row>
    <row r="15" spans="1:9" x14ac:dyDescent="0.3">
      <c r="A15" s="8">
        <v>46024</v>
      </c>
      <c r="B15" s="7">
        <v>19</v>
      </c>
      <c r="C15" s="7">
        <v>1</v>
      </c>
    </row>
    <row r="16" spans="1:9" x14ac:dyDescent="0.3">
      <c r="A16" s="8">
        <v>46031</v>
      </c>
      <c r="B16" s="7">
        <v>18</v>
      </c>
      <c r="C16" s="7">
        <v>4</v>
      </c>
    </row>
    <row r="17" spans="1:3" x14ac:dyDescent="0.3">
      <c r="A17" s="8">
        <v>46038</v>
      </c>
      <c r="B17" s="7">
        <v>18</v>
      </c>
      <c r="C17" s="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90DD-83FF-442B-A661-22CECE7E9780}">
  <dimension ref="A2:H40"/>
  <sheetViews>
    <sheetView workbookViewId="0"/>
  </sheetViews>
  <sheetFormatPr defaultRowHeight="14.4" x14ac:dyDescent="0.3"/>
  <cols>
    <col min="2" max="2" width="39" bestFit="1" customWidth="1"/>
    <col min="4" max="4" width="14.21875" customWidth="1"/>
    <col min="5" max="5" width="18.33203125" customWidth="1"/>
    <col min="6" max="6" width="18.88671875" bestFit="1" customWidth="1"/>
    <col min="7" max="7" width="46.109375" bestFit="1" customWidth="1"/>
    <col min="8" max="8" width="15.77734375" bestFit="1" customWidth="1"/>
  </cols>
  <sheetData>
    <row r="2" spans="1:8" x14ac:dyDescent="0.3">
      <c r="B2" t="s">
        <v>93</v>
      </c>
    </row>
    <row r="3" spans="1:8" ht="28.8" x14ac:dyDescent="0.3">
      <c r="A3" t="s">
        <v>0</v>
      </c>
      <c r="B3" t="s">
        <v>41</v>
      </c>
      <c r="C3" t="s">
        <v>42</v>
      </c>
      <c r="D3" s="5" t="s">
        <v>59</v>
      </c>
      <c r="E3" s="6" t="s">
        <v>60</v>
      </c>
      <c r="F3" t="s">
        <v>61</v>
      </c>
      <c r="G3" t="s">
        <v>75</v>
      </c>
      <c r="H3" t="s">
        <v>64</v>
      </c>
    </row>
    <row r="4" spans="1:8" x14ac:dyDescent="0.3">
      <c r="A4">
        <v>1</v>
      </c>
      <c r="B4" t="s">
        <v>54</v>
      </c>
      <c r="C4" t="s">
        <v>43</v>
      </c>
      <c r="D4" s="4">
        <v>120000</v>
      </c>
      <c r="E4" s="4">
        <v>480000</v>
      </c>
      <c r="F4" t="s">
        <v>62</v>
      </c>
      <c r="G4" t="s">
        <v>70</v>
      </c>
      <c r="H4" t="s">
        <v>77</v>
      </c>
    </row>
    <row r="5" spans="1:8" x14ac:dyDescent="0.3">
      <c r="A5">
        <v>2</v>
      </c>
      <c r="B5" t="s">
        <v>55</v>
      </c>
      <c r="C5" t="s">
        <v>43</v>
      </c>
      <c r="D5" s="4">
        <v>90000</v>
      </c>
      <c r="E5" s="4">
        <v>360000</v>
      </c>
      <c r="F5" t="s">
        <v>62</v>
      </c>
      <c r="G5" t="s">
        <v>71</v>
      </c>
      <c r="H5" t="s">
        <v>76</v>
      </c>
    </row>
    <row r="6" spans="1:8" x14ac:dyDescent="0.3">
      <c r="A6">
        <v>3</v>
      </c>
      <c r="B6" t="s">
        <v>50</v>
      </c>
      <c r="C6" t="s">
        <v>45</v>
      </c>
      <c r="D6" s="4">
        <v>200000</v>
      </c>
      <c r="E6" s="4">
        <v>800000</v>
      </c>
      <c r="F6" t="s">
        <v>62</v>
      </c>
      <c r="G6" t="s">
        <v>65</v>
      </c>
      <c r="H6" t="s">
        <v>76</v>
      </c>
    </row>
    <row r="7" spans="1:8" x14ac:dyDescent="0.3">
      <c r="A7">
        <v>4</v>
      </c>
      <c r="B7" t="s">
        <v>51</v>
      </c>
      <c r="C7" t="s">
        <v>45</v>
      </c>
      <c r="D7" s="4">
        <v>100000</v>
      </c>
      <c r="E7" s="4">
        <v>400000</v>
      </c>
      <c r="F7" t="s">
        <v>62</v>
      </c>
      <c r="G7" t="s">
        <v>66</v>
      </c>
      <c r="H7" t="s">
        <v>76</v>
      </c>
    </row>
    <row r="8" spans="1:8" x14ac:dyDescent="0.3">
      <c r="A8">
        <v>5</v>
      </c>
      <c r="B8" t="s">
        <v>52</v>
      </c>
      <c r="C8" t="s">
        <v>46</v>
      </c>
      <c r="D8" s="4">
        <v>85000</v>
      </c>
      <c r="E8" s="4">
        <v>340000</v>
      </c>
      <c r="F8" t="s">
        <v>62</v>
      </c>
      <c r="G8" t="s">
        <v>68</v>
      </c>
      <c r="H8" t="s">
        <v>76</v>
      </c>
    </row>
    <row r="9" spans="1:8" x14ac:dyDescent="0.3">
      <c r="A9">
        <v>6</v>
      </c>
      <c r="B9" t="s">
        <v>44</v>
      </c>
      <c r="C9" t="s">
        <v>45</v>
      </c>
      <c r="D9" s="4">
        <v>90000</v>
      </c>
      <c r="E9" s="4">
        <v>350000</v>
      </c>
      <c r="F9" t="s">
        <v>63</v>
      </c>
      <c r="G9" t="s">
        <v>67</v>
      </c>
      <c r="H9" t="s">
        <v>76</v>
      </c>
    </row>
    <row r="10" spans="1:8" x14ac:dyDescent="0.3">
      <c r="A10">
        <v>7</v>
      </c>
      <c r="B10" t="s">
        <v>53</v>
      </c>
      <c r="C10" t="s">
        <v>46</v>
      </c>
      <c r="D10" s="4">
        <v>70000</v>
      </c>
      <c r="E10" s="4">
        <v>280000</v>
      </c>
      <c r="F10" t="s">
        <v>63</v>
      </c>
      <c r="G10" t="s">
        <v>69</v>
      </c>
      <c r="H10" t="s">
        <v>76</v>
      </c>
    </row>
    <row r="11" spans="1:8" x14ac:dyDescent="0.3">
      <c r="A11">
        <v>8</v>
      </c>
      <c r="B11" t="s">
        <v>56</v>
      </c>
      <c r="C11" t="s">
        <v>47</v>
      </c>
      <c r="D11" s="4">
        <v>35000</v>
      </c>
      <c r="E11" s="4">
        <v>140000</v>
      </c>
      <c r="F11" t="s">
        <v>63</v>
      </c>
      <c r="G11" t="s">
        <v>72</v>
      </c>
      <c r="H11" t="s">
        <v>76</v>
      </c>
    </row>
    <row r="12" spans="1:8" x14ac:dyDescent="0.3">
      <c r="A12">
        <v>9</v>
      </c>
      <c r="B12" t="s">
        <v>57</v>
      </c>
      <c r="C12" t="s">
        <v>48</v>
      </c>
      <c r="D12" s="4">
        <v>25000</v>
      </c>
      <c r="E12" s="4">
        <v>100000</v>
      </c>
      <c r="F12" t="s">
        <v>63</v>
      </c>
      <c r="G12" t="s">
        <v>73</v>
      </c>
      <c r="H12" t="s">
        <v>76</v>
      </c>
    </row>
    <row r="13" spans="1:8" x14ac:dyDescent="0.3">
      <c r="A13">
        <v>10</v>
      </c>
      <c r="B13" t="s">
        <v>58</v>
      </c>
      <c r="C13" t="s">
        <v>49</v>
      </c>
      <c r="D13" s="4">
        <v>80000</v>
      </c>
      <c r="E13" s="4">
        <v>320000</v>
      </c>
      <c r="F13" t="s">
        <v>63</v>
      </c>
      <c r="G13" t="s">
        <v>74</v>
      </c>
      <c r="H13" t="s">
        <v>76</v>
      </c>
    </row>
    <row r="15" spans="1:8" x14ac:dyDescent="0.3">
      <c r="B15" t="s">
        <v>95</v>
      </c>
    </row>
    <row r="16" spans="1:8" x14ac:dyDescent="0.3">
      <c r="A16" t="s">
        <v>0</v>
      </c>
      <c r="B16" t="s">
        <v>78</v>
      </c>
      <c r="C16" t="s">
        <v>84</v>
      </c>
      <c r="D16" t="s">
        <v>85</v>
      </c>
      <c r="E16" t="s">
        <v>1</v>
      </c>
      <c r="F16" t="s">
        <v>88</v>
      </c>
    </row>
    <row r="17" spans="1:6" x14ac:dyDescent="0.3">
      <c r="A17">
        <v>1</v>
      </c>
      <c r="B17" t="s">
        <v>79</v>
      </c>
      <c r="C17" t="s">
        <v>14</v>
      </c>
      <c r="D17" t="s">
        <v>14</v>
      </c>
      <c r="E17" t="s">
        <v>86</v>
      </c>
      <c r="F17" t="s">
        <v>89</v>
      </c>
    </row>
    <row r="18" spans="1:6" x14ac:dyDescent="0.3">
      <c r="A18">
        <v>2</v>
      </c>
      <c r="B18" t="s">
        <v>80</v>
      </c>
      <c r="C18" t="s">
        <v>15</v>
      </c>
      <c r="D18" t="s">
        <v>14</v>
      </c>
      <c r="E18" t="s">
        <v>86</v>
      </c>
      <c r="F18" t="s">
        <v>89</v>
      </c>
    </row>
    <row r="19" spans="1:6" x14ac:dyDescent="0.3">
      <c r="A19">
        <v>3</v>
      </c>
      <c r="B19" t="s">
        <v>81</v>
      </c>
      <c r="C19" t="s">
        <v>15</v>
      </c>
      <c r="D19" t="s">
        <v>14</v>
      </c>
      <c r="E19" t="s">
        <v>87</v>
      </c>
      <c r="F19" t="s">
        <v>90</v>
      </c>
    </row>
    <row r="20" spans="1:6" x14ac:dyDescent="0.3">
      <c r="A20">
        <v>4</v>
      </c>
      <c r="B20" t="s">
        <v>82</v>
      </c>
      <c r="C20" t="s">
        <v>15</v>
      </c>
      <c r="D20" t="s">
        <v>15</v>
      </c>
      <c r="E20" t="s">
        <v>87</v>
      </c>
      <c r="F20" t="s">
        <v>91</v>
      </c>
    </row>
    <row r="21" spans="1:6" x14ac:dyDescent="0.3">
      <c r="A21">
        <v>5</v>
      </c>
      <c r="B21" t="s">
        <v>83</v>
      </c>
      <c r="C21" t="s">
        <v>17</v>
      </c>
      <c r="D21" t="s">
        <v>15</v>
      </c>
      <c r="E21" t="s">
        <v>87</v>
      </c>
      <c r="F21" t="s">
        <v>3</v>
      </c>
    </row>
    <row r="24" spans="1:6" x14ac:dyDescent="0.3">
      <c r="A24" t="s">
        <v>0</v>
      </c>
      <c r="B24" t="s">
        <v>97</v>
      </c>
      <c r="C24" t="s">
        <v>98</v>
      </c>
    </row>
    <row r="25" spans="1:6" x14ac:dyDescent="0.3">
      <c r="A25">
        <v>1</v>
      </c>
      <c r="B25" t="s">
        <v>99</v>
      </c>
      <c r="C25">
        <v>24999</v>
      </c>
    </row>
    <row r="26" spans="1:6" x14ac:dyDescent="0.3">
      <c r="A26">
        <v>2</v>
      </c>
      <c r="B26" t="s">
        <v>104</v>
      </c>
      <c r="C26">
        <v>4945</v>
      </c>
    </row>
    <row r="27" spans="1:6" x14ac:dyDescent="0.3">
      <c r="A27">
        <v>3</v>
      </c>
      <c r="B27" t="s">
        <v>105</v>
      </c>
      <c r="C27">
        <v>6432</v>
      </c>
    </row>
    <row r="28" spans="1:6" x14ac:dyDescent="0.3">
      <c r="A28">
        <v>4</v>
      </c>
      <c r="B28" t="s">
        <v>107</v>
      </c>
      <c r="C28">
        <v>2352</v>
      </c>
    </row>
    <row r="29" spans="1:6" x14ac:dyDescent="0.3">
      <c r="A29">
        <v>5</v>
      </c>
      <c r="B29" t="s">
        <v>106</v>
      </c>
      <c r="C29">
        <v>1535</v>
      </c>
    </row>
    <row r="30" spans="1:6" x14ac:dyDescent="0.3">
      <c r="A30">
        <v>6</v>
      </c>
      <c r="B30" t="s">
        <v>100</v>
      </c>
      <c r="C30">
        <v>8767</v>
      </c>
    </row>
    <row r="31" spans="1:6" x14ac:dyDescent="0.3">
      <c r="A31">
        <v>7</v>
      </c>
      <c r="B31" t="s">
        <v>101</v>
      </c>
      <c r="C31">
        <v>7868</v>
      </c>
    </row>
    <row r="32" spans="1:6" x14ac:dyDescent="0.3">
      <c r="A32">
        <v>8</v>
      </c>
      <c r="B32" t="s">
        <v>102</v>
      </c>
      <c r="C32">
        <v>6354</v>
      </c>
    </row>
    <row r="33" spans="1:3" x14ac:dyDescent="0.3">
      <c r="A33">
        <v>9</v>
      </c>
      <c r="B33" t="s">
        <v>103</v>
      </c>
      <c r="C33">
        <v>6333</v>
      </c>
    </row>
    <row r="34" spans="1:3" x14ac:dyDescent="0.3">
      <c r="A34">
        <v>10</v>
      </c>
      <c r="B34" t="s">
        <v>108</v>
      </c>
      <c r="C34">
        <v>18435</v>
      </c>
    </row>
    <row r="37" spans="1:3" x14ac:dyDescent="0.3">
      <c r="A37" t="s">
        <v>0</v>
      </c>
      <c r="B37" t="s">
        <v>109</v>
      </c>
      <c r="C37" t="s">
        <v>113</v>
      </c>
    </row>
    <row r="38" spans="1:3" x14ac:dyDescent="0.3">
      <c r="A38">
        <v>1</v>
      </c>
      <c r="B38" s="6" t="s">
        <v>110</v>
      </c>
      <c r="C38">
        <v>2333</v>
      </c>
    </row>
    <row r="39" spans="1:3" x14ac:dyDescent="0.3">
      <c r="A39">
        <v>2</v>
      </c>
      <c r="B39" s="6" t="s">
        <v>111</v>
      </c>
      <c r="C39">
        <v>4545</v>
      </c>
    </row>
    <row r="40" spans="1:3" x14ac:dyDescent="0.3">
      <c r="A40">
        <v>3</v>
      </c>
      <c r="B40" t="s">
        <v>112</v>
      </c>
      <c r="C40">
        <v>1535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2D98-2E7B-46FA-B835-3B7FB35F78ED}">
  <dimension ref="A1:P33"/>
  <sheetViews>
    <sheetView tabSelected="1" topLeftCell="A12" zoomScale="90" zoomScaleNormal="90" workbookViewId="0">
      <selection activeCell="B24" sqref="B24"/>
    </sheetView>
  </sheetViews>
  <sheetFormatPr defaultRowHeight="14.4" x14ac:dyDescent="0.3"/>
  <cols>
    <col min="1" max="1" width="12.44140625" bestFit="1" customWidth="1"/>
    <col min="2" max="2" width="26.77734375" bestFit="1" customWidth="1"/>
    <col min="3" max="3" width="20.21875" bestFit="1" customWidth="1"/>
    <col min="4" max="4" width="22.5546875" customWidth="1"/>
    <col min="5" max="5" width="15.6640625" bestFit="1" customWidth="1"/>
    <col min="6" max="6" width="11.21875" bestFit="1" customWidth="1"/>
    <col min="7" max="7" width="21.33203125" bestFit="1" customWidth="1"/>
    <col min="8" max="8" width="14.77734375" bestFit="1" customWidth="1"/>
    <col min="9" max="9" width="15.33203125" bestFit="1" customWidth="1"/>
    <col min="16" max="16" width="8.88671875" hidden="1" customWidth="1"/>
  </cols>
  <sheetData>
    <row r="1" spans="1:16" ht="15.6" x14ac:dyDescent="0.3">
      <c r="A1" s="32" t="s">
        <v>114</v>
      </c>
      <c r="B1" s="48" t="s">
        <v>274</v>
      </c>
      <c r="C1" s="7"/>
      <c r="D1" s="7"/>
      <c r="E1" s="7"/>
      <c r="F1" s="7"/>
      <c r="G1" s="7"/>
      <c r="H1" s="7"/>
      <c r="I1" s="7"/>
    </row>
    <row r="2" spans="1:16" x14ac:dyDescent="0.3">
      <c r="A2" s="27" t="s">
        <v>146</v>
      </c>
      <c r="B2" s="27" t="s">
        <v>170</v>
      </c>
      <c r="C2" s="27" t="s">
        <v>171</v>
      </c>
      <c r="D2" s="27" t="s">
        <v>172</v>
      </c>
      <c r="E2" s="27" t="s">
        <v>173</v>
      </c>
      <c r="F2" s="27" t="s">
        <v>1</v>
      </c>
      <c r="G2" s="27" t="s">
        <v>174</v>
      </c>
      <c r="H2" s="27" t="s">
        <v>149</v>
      </c>
      <c r="I2" s="27" t="s">
        <v>13</v>
      </c>
    </row>
    <row r="3" spans="1:16" x14ac:dyDescent="0.3">
      <c r="A3" s="7" t="s">
        <v>152</v>
      </c>
      <c r="B3" s="7" t="s">
        <v>227</v>
      </c>
      <c r="C3" s="7" t="s">
        <v>222</v>
      </c>
      <c r="D3" s="33">
        <v>45839</v>
      </c>
      <c r="E3" s="33">
        <v>46096</v>
      </c>
      <c r="F3" s="7" t="s">
        <v>127</v>
      </c>
      <c r="G3" s="34">
        <v>0.6</v>
      </c>
      <c r="H3" s="7" t="s">
        <v>153</v>
      </c>
      <c r="I3" s="7" t="s">
        <v>220</v>
      </c>
    </row>
    <row r="4" spans="1:16" x14ac:dyDescent="0.3">
      <c r="A4" s="7" t="s">
        <v>156</v>
      </c>
      <c r="B4" s="7" t="s">
        <v>228</v>
      </c>
      <c r="C4" s="7" t="s">
        <v>222</v>
      </c>
      <c r="D4" s="33">
        <v>46097</v>
      </c>
      <c r="E4" s="33">
        <v>46113</v>
      </c>
      <c r="F4" s="7" t="s">
        <v>11</v>
      </c>
      <c r="G4" s="34">
        <v>0</v>
      </c>
      <c r="H4" s="7" t="s">
        <v>153</v>
      </c>
      <c r="I4" s="7" t="s">
        <v>220</v>
      </c>
    </row>
    <row r="5" spans="1:16" x14ac:dyDescent="0.3">
      <c r="A5" s="7" t="s">
        <v>160</v>
      </c>
      <c r="B5" s="7" t="s">
        <v>179</v>
      </c>
      <c r="C5" s="7" t="s">
        <v>224</v>
      </c>
      <c r="D5" s="33">
        <v>46113</v>
      </c>
      <c r="E5" s="33">
        <v>46142</v>
      </c>
      <c r="F5" s="7" t="s">
        <v>11</v>
      </c>
      <c r="G5" s="34">
        <v>0</v>
      </c>
      <c r="H5" s="7" t="s">
        <v>153</v>
      </c>
      <c r="I5" s="7" t="s">
        <v>221</v>
      </c>
    </row>
    <row r="6" spans="1:16" x14ac:dyDescent="0.3">
      <c r="A6" s="7" t="s">
        <v>166</v>
      </c>
      <c r="B6" s="7" t="s">
        <v>175</v>
      </c>
      <c r="C6" s="7" t="s">
        <v>176</v>
      </c>
      <c r="D6" s="33">
        <v>46143</v>
      </c>
      <c r="E6" s="33">
        <v>46203</v>
      </c>
      <c r="F6" s="7" t="s">
        <v>11</v>
      </c>
      <c r="G6" s="34">
        <v>0</v>
      </c>
      <c r="H6" s="7" t="s">
        <v>153</v>
      </c>
      <c r="I6" s="7" t="s">
        <v>219</v>
      </c>
    </row>
    <row r="7" spans="1:16" x14ac:dyDescent="0.3">
      <c r="A7" s="7" t="s">
        <v>169</v>
      </c>
      <c r="B7" s="7" t="s">
        <v>177</v>
      </c>
      <c r="C7" s="7" t="s">
        <v>176</v>
      </c>
      <c r="D7" s="33">
        <v>46204</v>
      </c>
      <c r="E7" s="33">
        <v>46295</v>
      </c>
      <c r="F7" s="7" t="s">
        <v>11</v>
      </c>
      <c r="G7" s="34">
        <v>0</v>
      </c>
      <c r="H7" s="7" t="s">
        <v>153</v>
      </c>
      <c r="I7" s="7" t="s">
        <v>245</v>
      </c>
    </row>
    <row r="8" spans="1:16" x14ac:dyDescent="0.3">
      <c r="A8" s="7" t="s">
        <v>183</v>
      </c>
      <c r="B8" s="7" t="s">
        <v>180</v>
      </c>
      <c r="C8" s="7" t="s">
        <v>224</v>
      </c>
      <c r="D8" s="33">
        <v>46296</v>
      </c>
      <c r="E8" s="33">
        <v>46356</v>
      </c>
      <c r="F8" s="7" t="s">
        <v>11</v>
      </c>
      <c r="G8" s="34">
        <v>0</v>
      </c>
      <c r="H8" s="7" t="s">
        <v>153</v>
      </c>
      <c r="I8" s="7" t="s">
        <v>221</v>
      </c>
    </row>
    <row r="9" spans="1:16" x14ac:dyDescent="0.3">
      <c r="A9" s="7" t="s">
        <v>225</v>
      </c>
      <c r="B9" s="7" t="s">
        <v>181</v>
      </c>
      <c r="C9" s="7" t="s">
        <v>182</v>
      </c>
      <c r="D9" s="33">
        <v>46357</v>
      </c>
      <c r="E9" s="33">
        <v>46387</v>
      </c>
      <c r="F9" s="7" t="s">
        <v>11</v>
      </c>
      <c r="G9" s="34">
        <v>0</v>
      </c>
      <c r="H9" s="7" t="s">
        <v>153</v>
      </c>
      <c r="I9" s="7" t="s">
        <v>219</v>
      </c>
    </row>
    <row r="10" spans="1:16" x14ac:dyDescent="0.3">
      <c r="A10" s="7" t="s">
        <v>226</v>
      </c>
      <c r="B10" s="7" t="s">
        <v>184</v>
      </c>
      <c r="C10" s="7" t="s">
        <v>182</v>
      </c>
      <c r="D10" s="33">
        <v>46388</v>
      </c>
      <c r="E10" s="33">
        <v>46388</v>
      </c>
      <c r="F10" s="7" t="s">
        <v>11</v>
      </c>
      <c r="G10" s="34">
        <v>0</v>
      </c>
      <c r="H10" s="7" t="s">
        <v>153</v>
      </c>
      <c r="I10" s="7" t="s">
        <v>245</v>
      </c>
    </row>
    <row r="11" spans="1:16" x14ac:dyDescent="0.3">
      <c r="D11" s="29"/>
      <c r="E11" s="29"/>
      <c r="G11" s="30"/>
    </row>
    <row r="13" spans="1:16" ht="15.6" x14ac:dyDescent="0.3">
      <c r="A13" s="39" t="s">
        <v>215</v>
      </c>
      <c r="B13" s="48" t="s">
        <v>275</v>
      </c>
      <c r="D13" s="53" t="s">
        <v>265</v>
      </c>
      <c r="E13" s="53"/>
    </row>
    <row r="14" spans="1:16" x14ac:dyDescent="0.3">
      <c r="A14" s="27" t="s">
        <v>144</v>
      </c>
      <c r="B14" s="27" t="s">
        <v>145</v>
      </c>
      <c r="C14" s="27" t="s">
        <v>146</v>
      </c>
      <c r="D14" s="27" t="s">
        <v>147</v>
      </c>
      <c r="E14" s="27" t="s">
        <v>13</v>
      </c>
      <c r="F14" s="27" t="s">
        <v>148</v>
      </c>
      <c r="G14" s="31" t="s">
        <v>1</v>
      </c>
      <c r="H14" s="27" t="s">
        <v>149</v>
      </c>
      <c r="I14" s="31" t="s">
        <v>133</v>
      </c>
      <c r="P14" t="s">
        <v>1</v>
      </c>
    </row>
    <row r="15" spans="1:16" x14ac:dyDescent="0.3">
      <c r="A15" s="7" t="s">
        <v>150</v>
      </c>
      <c r="B15" s="7" t="s">
        <v>227</v>
      </c>
      <c r="C15" s="7" t="s">
        <v>152</v>
      </c>
      <c r="D15" s="7" t="s">
        <v>222</v>
      </c>
      <c r="E15" s="7" t="s">
        <v>220</v>
      </c>
      <c r="F15" s="33">
        <v>46096</v>
      </c>
      <c r="G15" s="42" t="s">
        <v>127</v>
      </c>
      <c r="H15" s="7" t="s">
        <v>153</v>
      </c>
      <c r="I15" s="42"/>
      <c r="P15" t="s">
        <v>11</v>
      </c>
    </row>
    <row r="16" spans="1:16" x14ac:dyDescent="0.3">
      <c r="A16" s="7" t="s">
        <v>154</v>
      </c>
      <c r="B16" s="7" t="s">
        <v>165</v>
      </c>
      <c r="C16" s="7" t="s">
        <v>152</v>
      </c>
      <c r="D16" s="7" t="s">
        <v>222</v>
      </c>
      <c r="E16" s="7" t="s">
        <v>220</v>
      </c>
      <c r="F16" s="33">
        <v>46096</v>
      </c>
      <c r="G16" s="42" t="s">
        <v>127</v>
      </c>
      <c r="H16" s="7" t="s">
        <v>153</v>
      </c>
      <c r="I16" s="42"/>
      <c r="P16" t="s">
        <v>127</v>
      </c>
    </row>
    <row r="17" spans="1:16" x14ac:dyDescent="0.3">
      <c r="A17" s="7" t="s">
        <v>158</v>
      </c>
      <c r="B17" s="7" t="s">
        <v>159</v>
      </c>
      <c r="C17" s="7" t="s">
        <v>160</v>
      </c>
      <c r="D17" s="7" t="s">
        <v>224</v>
      </c>
      <c r="E17" s="7" t="s">
        <v>221</v>
      </c>
      <c r="F17" s="33">
        <v>46142</v>
      </c>
      <c r="G17" s="42" t="s">
        <v>11</v>
      </c>
      <c r="H17" s="7" t="s">
        <v>153</v>
      </c>
      <c r="I17" s="42"/>
      <c r="P17" t="s">
        <v>126</v>
      </c>
    </row>
    <row r="18" spans="1:16" x14ac:dyDescent="0.3">
      <c r="A18" s="7" t="s">
        <v>161</v>
      </c>
      <c r="B18" s="7" t="s">
        <v>162</v>
      </c>
      <c r="C18" s="7" t="s">
        <v>160</v>
      </c>
      <c r="D18" s="7" t="s">
        <v>224</v>
      </c>
      <c r="E18" s="7" t="s">
        <v>221</v>
      </c>
      <c r="F18" s="33">
        <v>46142</v>
      </c>
      <c r="G18" s="42" t="s">
        <v>11</v>
      </c>
      <c r="H18" s="7" t="s">
        <v>153</v>
      </c>
      <c r="I18" s="42"/>
      <c r="P18" t="s">
        <v>129</v>
      </c>
    </row>
    <row r="19" spans="1:16" x14ac:dyDescent="0.3">
      <c r="A19" s="7" t="s">
        <v>164</v>
      </c>
      <c r="B19" s="7" t="s">
        <v>168</v>
      </c>
      <c r="C19" s="7" t="s">
        <v>166</v>
      </c>
      <c r="D19" s="7" t="s">
        <v>223</v>
      </c>
      <c r="E19" s="7" t="s">
        <v>219</v>
      </c>
      <c r="F19" s="33">
        <v>46203</v>
      </c>
      <c r="G19" s="42" t="s">
        <v>11</v>
      </c>
      <c r="H19" s="7" t="s">
        <v>153</v>
      </c>
      <c r="I19" s="42"/>
    </row>
    <row r="20" spans="1:16" x14ac:dyDescent="0.3">
      <c r="A20" s="7" t="s">
        <v>167</v>
      </c>
      <c r="B20" s="7" t="s">
        <v>151</v>
      </c>
      <c r="C20" s="7" t="s">
        <v>166</v>
      </c>
      <c r="D20" s="7" t="s">
        <v>223</v>
      </c>
      <c r="E20" s="7" t="s">
        <v>219</v>
      </c>
      <c r="F20" s="33">
        <v>46203</v>
      </c>
      <c r="G20" s="42" t="s">
        <v>11</v>
      </c>
      <c r="H20" s="7" t="s">
        <v>153</v>
      </c>
      <c r="I20" s="42"/>
    </row>
    <row r="21" spans="1:16" x14ac:dyDescent="0.3">
      <c r="A21" s="7" t="s">
        <v>229</v>
      </c>
      <c r="B21" s="7" t="s">
        <v>155</v>
      </c>
      <c r="C21" s="7" t="s">
        <v>183</v>
      </c>
      <c r="D21" s="7" t="s">
        <v>222</v>
      </c>
      <c r="E21" s="7" t="s">
        <v>220</v>
      </c>
      <c r="F21" s="33">
        <v>46295</v>
      </c>
      <c r="G21" s="42" t="s">
        <v>11</v>
      </c>
      <c r="H21" s="7" t="s">
        <v>153</v>
      </c>
      <c r="I21" s="42"/>
    </row>
    <row r="24" spans="1:16" ht="15.6" x14ac:dyDescent="0.3">
      <c r="A24" s="22" t="s">
        <v>263</v>
      </c>
      <c r="B24" s="48" t="s">
        <v>276</v>
      </c>
      <c r="E24" s="54" t="s">
        <v>264</v>
      </c>
      <c r="F24" s="54"/>
      <c r="G24" s="54"/>
    </row>
    <row r="25" spans="1:16" ht="33" customHeight="1" x14ac:dyDescent="0.3">
      <c r="A25" s="27" t="s">
        <v>146</v>
      </c>
      <c r="B25" s="27" t="s">
        <v>170</v>
      </c>
      <c r="C25" s="13" t="s">
        <v>262</v>
      </c>
      <c r="D25" s="37" t="s">
        <v>135</v>
      </c>
      <c r="E25" s="37" t="s">
        <v>134</v>
      </c>
      <c r="F25" s="37" t="s">
        <v>1</v>
      </c>
      <c r="G25" s="37" t="s">
        <v>137</v>
      </c>
      <c r="H25" s="37" t="s">
        <v>13</v>
      </c>
    </row>
    <row r="26" spans="1:16" ht="27.6" x14ac:dyDescent="0.3">
      <c r="A26" s="7" t="s">
        <v>152</v>
      </c>
      <c r="B26" s="7" t="s">
        <v>227</v>
      </c>
      <c r="C26" s="41">
        <v>0.6</v>
      </c>
      <c r="D26" s="10">
        <v>0.3</v>
      </c>
      <c r="E26" s="18">
        <f>C26*D26</f>
        <v>0.18</v>
      </c>
      <c r="F26" s="1" t="s">
        <v>10</v>
      </c>
      <c r="G26" s="38">
        <f>E26</f>
        <v>0.18</v>
      </c>
      <c r="H26" s="7" t="s">
        <v>220</v>
      </c>
    </row>
    <row r="27" spans="1:16" ht="27.6" x14ac:dyDescent="0.3">
      <c r="A27" s="7" t="s">
        <v>156</v>
      </c>
      <c r="B27" s="7" t="s">
        <v>228</v>
      </c>
      <c r="C27" s="41">
        <v>0</v>
      </c>
      <c r="D27" s="10">
        <v>0.1</v>
      </c>
      <c r="E27" s="18">
        <f t="shared" ref="E27:E33" si="0">C27*D27</f>
        <v>0</v>
      </c>
      <c r="F27" s="1" t="s">
        <v>11</v>
      </c>
      <c r="G27" s="38">
        <f>G26+E27</f>
        <v>0.18</v>
      </c>
      <c r="H27" s="7" t="s">
        <v>221</v>
      </c>
    </row>
    <row r="28" spans="1:16" ht="27.6" x14ac:dyDescent="0.3">
      <c r="A28" s="7" t="s">
        <v>160</v>
      </c>
      <c r="B28" s="7" t="s">
        <v>179</v>
      </c>
      <c r="C28" s="41">
        <v>0</v>
      </c>
      <c r="D28" s="10">
        <v>0.1</v>
      </c>
      <c r="E28" s="18">
        <f t="shared" si="0"/>
        <v>0</v>
      </c>
      <c r="F28" s="1" t="s">
        <v>11</v>
      </c>
      <c r="G28" s="38">
        <f t="shared" ref="G28:G33" si="1">G27+E28</f>
        <v>0.18</v>
      </c>
      <c r="H28" s="7" t="s">
        <v>221</v>
      </c>
    </row>
    <row r="29" spans="1:16" ht="27.6" x14ac:dyDescent="0.3">
      <c r="A29" s="7" t="s">
        <v>166</v>
      </c>
      <c r="B29" s="7" t="s">
        <v>175</v>
      </c>
      <c r="C29" s="41">
        <v>0</v>
      </c>
      <c r="D29" s="10">
        <v>0.1</v>
      </c>
      <c r="E29" s="18">
        <f>C29*D29</f>
        <v>0</v>
      </c>
      <c r="F29" s="1" t="s">
        <v>11</v>
      </c>
      <c r="G29" s="38">
        <f t="shared" si="1"/>
        <v>0.18</v>
      </c>
      <c r="H29" s="7" t="s">
        <v>219</v>
      </c>
    </row>
    <row r="30" spans="1:16" ht="27.6" x14ac:dyDescent="0.3">
      <c r="A30" s="7" t="s">
        <v>169</v>
      </c>
      <c r="B30" s="7" t="s">
        <v>177</v>
      </c>
      <c r="C30" s="41">
        <v>0</v>
      </c>
      <c r="D30" s="10">
        <v>0.1</v>
      </c>
      <c r="E30" s="18">
        <f t="shared" si="0"/>
        <v>0</v>
      </c>
      <c r="F30" s="1" t="s">
        <v>11</v>
      </c>
      <c r="G30" s="38">
        <f t="shared" si="1"/>
        <v>0.18</v>
      </c>
      <c r="H30" s="7" t="s">
        <v>219</v>
      </c>
    </row>
    <row r="31" spans="1:16" ht="27.6" x14ac:dyDescent="0.3">
      <c r="A31" s="7" t="s">
        <v>183</v>
      </c>
      <c r="B31" s="7" t="s">
        <v>180</v>
      </c>
      <c r="C31" s="41">
        <v>0</v>
      </c>
      <c r="D31" s="10">
        <v>0.2</v>
      </c>
      <c r="E31" s="18">
        <f t="shared" si="0"/>
        <v>0</v>
      </c>
      <c r="F31" s="1" t="s">
        <v>11</v>
      </c>
      <c r="G31" s="38">
        <f t="shared" si="1"/>
        <v>0.18</v>
      </c>
      <c r="H31" s="7" t="s">
        <v>220</v>
      </c>
    </row>
    <row r="32" spans="1:16" ht="27.6" x14ac:dyDescent="0.3">
      <c r="A32" s="7" t="s">
        <v>225</v>
      </c>
      <c r="B32" s="7" t="s">
        <v>181</v>
      </c>
      <c r="C32" s="41">
        <v>0</v>
      </c>
      <c r="D32" s="10">
        <v>0.05</v>
      </c>
      <c r="E32" s="18">
        <f t="shared" si="0"/>
        <v>0</v>
      </c>
      <c r="F32" s="1" t="s">
        <v>11</v>
      </c>
      <c r="G32" s="38">
        <f t="shared" si="1"/>
        <v>0.18</v>
      </c>
      <c r="H32" s="7" t="s">
        <v>219</v>
      </c>
    </row>
    <row r="33" spans="1:8" ht="27.6" x14ac:dyDescent="0.3">
      <c r="A33" s="7" t="s">
        <v>226</v>
      </c>
      <c r="B33" s="7" t="s">
        <v>184</v>
      </c>
      <c r="C33" s="41">
        <v>0</v>
      </c>
      <c r="D33" s="10">
        <v>0.05</v>
      </c>
      <c r="E33" s="18">
        <f t="shared" si="0"/>
        <v>0</v>
      </c>
      <c r="F33" s="1" t="s">
        <v>11</v>
      </c>
      <c r="G33" s="38">
        <f t="shared" si="1"/>
        <v>0.18</v>
      </c>
      <c r="H33" s="7"/>
    </row>
  </sheetData>
  <mergeCells count="2">
    <mergeCell ref="D13:E13"/>
    <mergeCell ref="E24:G24"/>
  </mergeCells>
  <dataValidations count="1">
    <dataValidation type="list" allowBlank="1" showInputMessage="1" showErrorMessage="1" sqref="G15:G21 F26:F33" xr:uid="{03B8701C-7BCA-40CB-9CA5-8E420D164CEC}">
      <formula1>$P$15:$P$18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D347-96CC-42CA-8628-5BE9ABA355FA}">
  <dimension ref="A1:M38"/>
  <sheetViews>
    <sheetView zoomScale="90" zoomScaleNormal="90" workbookViewId="0">
      <selection activeCell="B27" sqref="B27"/>
    </sheetView>
  </sheetViews>
  <sheetFormatPr defaultRowHeight="19.05" customHeight="1" x14ac:dyDescent="0.3"/>
  <cols>
    <col min="1" max="2" width="31.33203125" bestFit="1" customWidth="1"/>
    <col min="3" max="3" width="30.77734375" bestFit="1" customWidth="1"/>
    <col min="4" max="4" width="18.6640625" bestFit="1" customWidth="1"/>
    <col min="5" max="5" width="15.77734375" bestFit="1" customWidth="1"/>
    <col min="6" max="6" width="9.109375" bestFit="1" customWidth="1"/>
    <col min="7" max="7" width="15.77734375" bestFit="1" customWidth="1"/>
    <col min="8" max="8" width="25.5546875" bestFit="1" customWidth="1"/>
    <col min="9" max="9" width="11.33203125" bestFit="1" customWidth="1"/>
    <col min="10" max="10" width="10.5546875" bestFit="1" customWidth="1"/>
    <col min="11" max="11" width="19.77734375" customWidth="1"/>
    <col min="13" max="13" width="8.88671875" hidden="1" customWidth="1"/>
  </cols>
  <sheetData>
    <row r="1" spans="1:13" ht="19.05" customHeight="1" x14ac:dyDescent="0.3">
      <c r="A1" s="22" t="s">
        <v>216</v>
      </c>
      <c r="B1" s="48" t="s">
        <v>277</v>
      </c>
      <c r="C1" s="52" t="s">
        <v>265</v>
      </c>
      <c r="D1" s="52"/>
      <c r="E1" s="52"/>
    </row>
    <row r="2" spans="1:13" ht="19.05" customHeight="1" x14ac:dyDescent="0.3">
      <c r="A2" s="27" t="s">
        <v>186</v>
      </c>
      <c r="B2" s="27" t="s">
        <v>187</v>
      </c>
      <c r="C2" s="27" t="s">
        <v>188</v>
      </c>
      <c r="D2" s="27" t="s">
        <v>85</v>
      </c>
      <c r="E2" s="27" t="s">
        <v>189</v>
      </c>
      <c r="F2" s="27" t="s">
        <v>149</v>
      </c>
      <c r="G2" s="27" t="s">
        <v>13</v>
      </c>
      <c r="H2" s="27" t="s">
        <v>190</v>
      </c>
      <c r="I2" s="27" t="s">
        <v>191</v>
      </c>
      <c r="J2" s="31" t="s">
        <v>1</v>
      </c>
      <c r="K2" s="31" t="s">
        <v>133</v>
      </c>
    </row>
    <row r="3" spans="1:13" ht="19.05" customHeight="1" x14ac:dyDescent="0.3">
      <c r="A3" t="s">
        <v>192</v>
      </c>
      <c r="B3" t="s">
        <v>193</v>
      </c>
      <c r="C3" t="s">
        <v>194</v>
      </c>
      <c r="D3">
        <v>4</v>
      </c>
      <c r="E3">
        <v>3</v>
      </c>
      <c r="F3" t="s">
        <v>157</v>
      </c>
      <c r="G3" t="s">
        <v>219</v>
      </c>
      <c r="H3" t="s">
        <v>195</v>
      </c>
      <c r="I3" s="28">
        <v>46142</v>
      </c>
      <c r="J3" t="s">
        <v>128</v>
      </c>
    </row>
    <row r="4" spans="1:13" ht="19.05" customHeight="1" x14ac:dyDescent="0.3">
      <c r="A4" t="s">
        <v>196</v>
      </c>
      <c r="B4" t="s">
        <v>193</v>
      </c>
      <c r="C4" t="s">
        <v>197</v>
      </c>
      <c r="D4">
        <v>5</v>
      </c>
      <c r="E4">
        <v>3</v>
      </c>
      <c r="F4" t="s">
        <v>163</v>
      </c>
      <c r="G4" t="s">
        <v>221</v>
      </c>
      <c r="H4" t="s">
        <v>198</v>
      </c>
      <c r="I4" s="28">
        <v>46142</v>
      </c>
      <c r="J4" t="s">
        <v>128</v>
      </c>
    </row>
    <row r="5" spans="1:13" ht="19.05" customHeight="1" x14ac:dyDescent="0.3">
      <c r="A5" t="s">
        <v>230</v>
      </c>
      <c r="B5" t="s">
        <v>231</v>
      </c>
      <c r="C5" t="s">
        <v>232</v>
      </c>
      <c r="D5">
        <v>4</v>
      </c>
      <c r="E5">
        <v>1</v>
      </c>
      <c r="F5" t="s">
        <v>153</v>
      </c>
      <c r="G5" t="s">
        <v>220</v>
      </c>
      <c r="H5" t="s">
        <v>236</v>
      </c>
      <c r="I5" s="28">
        <v>46234</v>
      </c>
      <c r="J5" t="s">
        <v>128</v>
      </c>
    </row>
    <row r="6" spans="1:13" ht="19.05" customHeight="1" x14ac:dyDescent="0.3">
      <c r="A6" t="s">
        <v>202</v>
      </c>
      <c r="B6" t="s">
        <v>203</v>
      </c>
      <c r="C6" t="s">
        <v>234</v>
      </c>
      <c r="D6">
        <v>4</v>
      </c>
      <c r="E6">
        <v>2</v>
      </c>
      <c r="F6" t="s">
        <v>157</v>
      </c>
      <c r="G6" t="s">
        <v>245</v>
      </c>
      <c r="H6" t="s">
        <v>235</v>
      </c>
      <c r="I6" s="28">
        <v>46142</v>
      </c>
      <c r="J6" t="s">
        <v>128</v>
      </c>
    </row>
    <row r="7" spans="1:13" ht="19.05" customHeight="1" x14ac:dyDescent="0.3">
      <c r="A7" t="s">
        <v>199</v>
      </c>
      <c r="B7" t="s">
        <v>200</v>
      </c>
      <c r="C7" t="s">
        <v>233</v>
      </c>
      <c r="D7">
        <v>3</v>
      </c>
      <c r="E7">
        <v>4</v>
      </c>
      <c r="F7" t="s">
        <v>157</v>
      </c>
      <c r="G7" t="s">
        <v>220</v>
      </c>
      <c r="H7" t="s">
        <v>201</v>
      </c>
      <c r="I7" s="28">
        <v>46234</v>
      </c>
      <c r="J7" t="s">
        <v>128</v>
      </c>
    </row>
    <row r="8" spans="1:13" ht="19.05" customHeight="1" x14ac:dyDescent="0.3">
      <c r="I8" s="28"/>
    </row>
    <row r="10" spans="1:13" ht="19.05" customHeight="1" x14ac:dyDescent="0.3">
      <c r="A10" s="22" t="s">
        <v>217</v>
      </c>
      <c r="B10" s="48" t="s">
        <v>278</v>
      </c>
      <c r="C10" s="52" t="s">
        <v>265</v>
      </c>
      <c r="D10" s="52"/>
      <c r="E10" s="52"/>
      <c r="M10" t="s">
        <v>267</v>
      </c>
    </row>
    <row r="11" spans="1:13" ht="19.05" customHeight="1" x14ac:dyDescent="0.3">
      <c r="A11" s="27" t="s">
        <v>204</v>
      </c>
      <c r="B11" s="27" t="s">
        <v>205</v>
      </c>
      <c r="C11" s="27" t="s">
        <v>206</v>
      </c>
      <c r="D11" s="27" t="s">
        <v>207</v>
      </c>
      <c r="E11" s="27" t="s">
        <v>13</v>
      </c>
      <c r="F11" s="31" t="s">
        <v>1</v>
      </c>
      <c r="G11" s="31" t="s">
        <v>133</v>
      </c>
      <c r="M11" t="s">
        <v>268</v>
      </c>
    </row>
    <row r="12" spans="1:13" ht="19.05" customHeight="1" x14ac:dyDescent="0.3">
      <c r="A12" t="s">
        <v>208</v>
      </c>
      <c r="B12" t="s">
        <v>209</v>
      </c>
      <c r="C12" t="s">
        <v>210</v>
      </c>
      <c r="D12" s="28">
        <v>46113</v>
      </c>
      <c r="E12" t="s">
        <v>245</v>
      </c>
      <c r="F12" t="s">
        <v>128</v>
      </c>
      <c r="M12" t="s">
        <v>126</v>
      </c>
    </row>
    <row r="13" spans="1:13" ht="19.05" customHeight="1" x14ac:dyDescent="0.3">
      <c r="A13" t="s">
        <v>211</v>
      </c>
      <c r="B13" t="s">
        <v>238</v>
      </c>
      <c r="C13" t="s">
        <v>239</v>
      </c>
      <c r="D13" s="28">
        <v>46113</v>
      </c>
      <c r="E13" t="s">
        <v>245</v>
      </c>
      <c r="F13" t="s">
        <v>128</v>
      </c>
    </row>
    <row r="14" spans="1:13" ht="19.05" customHeight="1" x14ac:dyDescent="0.3">
      <c r="A14" t="s">
        <v>237</v>
      </c>
      <c r="B14" t="s">
        <v>212</v>
      </c>
      <c r="C14" t="s">
        <v>213</v>
      </c>
      <c r="D14" s="28">
        <v>46174</v>
      </c>
      <c r="E14" t="s">
        <v>219</v>
      </c>
      <c r="F14" t="s">
        <v>128</v>
      </c>
    </row>
    <row r="17" spans="1:6" ht="19.05" customHeight="1" x14ac:dyDescent="0.3">
      <c r="A17" s="22" t="s">
        <v>218</v>
      </c>
      <c r="B17" s="48" t="s">
        <v>279</v>
      </c>
    </row>
    <row r="18" spans="1:6" ht="19.05" customHeight="1" x14ac:dyDescent="0.3">
      <c r="A18" s="27" t="s">
        <v>13</v>
      </c>
      <c r="B18" s="27" t="s">
        <v>214</v>
      </c>
    </row>
    <row r="19" spans="1:6" ht="19.05" customHeight="1" x14ac:dyDescent="0.3">
      <c r="A19" t="s">
        <v>246</v>
      </c>
      <c r="B19" t="s">
        <v>185</v>
      </c>
    </row>
    <row r="20" spans="1:6" ht="19.05" customHeight="1" x14ac:dyDescent="0.3">
      <c r="A20" t="s">
        <v>245</v>
      </c>
      <c r="B20" t="s">
        <v>240</v>
      </c>
    </row>
    <row r="21" spans="1:6" ht="19.05" customHeight="1" x14ac:dyDescent="0.3">
      <c r="A21" t="s">
        <v>220</v>
      </c>
      <c r="B21" t="s">
        <v>241</v>
      </c>
    </row>
    <row r="22" spans="1:6" ht="19.05" customHeight="1" x14ac:dyDescent="0.3">
      <c r="A22" t="s">
        <v>219</v>
      </c>
      <c r="B22" t="s">
        <v>242</v>
      </c>
    </row>
    <row r="23" spans="1:6" ht="19.05" customHeight="1" x14ac:dyDescent="0.3">
      <c r="A23" t="s">
        <v>247</v>
      </c>
      <c r="B23" t="s">
        <v>243</v>
      </c>
    </row>
    <row r="24" spans="1:6" ht="19.05" customHeight="1" x14ac:dyDescent="0.3">
      <c r="A24" t="s">
        <v>221</v>
      </c>
      <c r="B24" t="s">
        <v>178</v>
      </c>
    </row>
    <row r="26" spans="1:6" ht="19.05" customHeight="1" x14ac:dyDescent="0.3">
      <c r="A26" s="22" t="s">
        <v>261</v>
      </c>
      <c r="B26" s="50" t="s">
        <v>280</v>
      </c>
    </row>
    <row r="27" spans="1:6" ht="19.05" customHeight="1" x14ac:dyDescent="0.3">
      <c r="A27" s="36" t="s">
        <v>260</v>
      </c>
      <c r="B27" s="36" t="s">
        <v>128</v>
      </c>
      <c r="C27" s="36" t="s">
        <v>129</v>
      </c>
      <c r="D27" s="36" t="s">
        <v>248</v>
      </c>
      <c r="E27" s="36" t="s">
        <v>249</v>
      </c>
      <c r="F27" s="36" t="s">
        <v>250</v>
      </c>
    </row>
    <row r="28" spans="1:6" ht="19.05" customHeight="1" x14ac:dyDescent="0.3">
      <c r="A28" s="35">
        <v>45747</v>
      </c>
      <c r="B28" s="36">
        <v>0</v>
      </c>
      <c r="C28" s="36">
        <v>1</v>
      </c>
      <c r="D28" s="36">
        <v>0</v>
      </c>
      <c r="E28" s="36">
        <v>0</v>
      </c>
      <c r="F28" s="36">
        <v>0</v>
      </c>
    </row>
    <row r="29" spans="1:6" ht="19.05" customHeight="1" x14ac:dyDescent="0.3">
      <c r="A29" s="35" t="s">
        <v>251</v>
      </c>
      <c r="B29" s="36">
        <v>7</v>
      </c>
      <c r="C29" s="36">
        <v>2</v>
      </c>
      <c r="D29" s="36">
        <v>0</v>
      </c>
      <c r="E29" s="36">
        <v>0</v>
      </c>
      <c r="F29" s="36">
        <v>0</v>
      </c>
    </row>
    <row r="30" spans="1:6" ht="19.05" customHeight="1" x14ac:dyDescent="0.3">
      <c r="A30" s="35" t="s">
        <v>252</v>
      </c>
      <c r="B30" s="36">
        <v>33</v>
      </c>
      <c r="C30" s="36">
        <v>13</v>
      </c>
      <c r="D30" s="36">
        <v>0</v>
      </c>
      <c r="E30" s="36">
        <v>0</v>
      </c>
      <c r="F30" s="36">
        <v>0</v>
      </c>
    </row>
    <row r="31" spans="1:6" ht="19.05" customHeight="1" x14ac:dyDescent="0.3">
      <c r="A31" s="35" t="s">
        <v>253</v>
      </c>
      <c r="B31" s="36">
        <v>40</v>
      </c>
      <c r="C31" s="36">
        <v>16</v>
      </c>
      <c r="D31" s="36">
        <v>0</v>
      </c>
      <c r="E31" s="36">
        <v>0</v>
      </c>
      <c r="F31" s="36">
        <v>0</v>
      </c>
    </row>
    <row r="32" spans="1:6" ht="19.05" customHeight="1" x14ac:dyDescent="0.3">
      <c r="A32" s="35" t="s">
        <v>254</v>
      </c>
      <c r="B32" s="36">
        <v>41</v>
      </c>
      <c r="C32" s="36">
        <v>29</v>
      </c>
      <c r="D32" s="36">
        <v>0</v>
      </c>
      <c r="E32" s="36">
        <v>1</v>
      </c>
      <c r="F32" s="36">
        <v>0</v>
      </c>
    </row>
    <row r="33" spans="1:6" ht="19.05" customHeight="1" x14ac:dyDescent="0.3">
      <c r="A33" s="35" t="s">
        <v>255</v>
      </c>
      <c r="B33" s="36">
        <v>39</v>
      </c>
      <c r="C33" s="36">
        <v>46</v>
      </c>
      <c r="D33" s="36">
        <v>0</v>
      </c>
      <c r="E33" s="36">
        <v>1</v>
      </c>
      <c r="F33" s="36">
        <v>1</v>
      </c>
    </row>
    <row r="34" spans="1:6" ht="19.05" customHeight="1" x14ac:dyDescent="0.3">
      <c r="A34" s="35" t="s">
        <v>256</v>
      </c>
      <c r="B34" s="36">
        <v>42</v>
      </c>
      <c r="C34" s="36">
        <v>70</v>
      </c>
      <c r="D34" s="36">
        <v>0</v>
      </c>
      <c r="E34" s="36">
        <v>4</v>
      </c>
      <c r="F34" s="36">
        <v>1</v>
      </c>
    </row>
    <row r="35" spans="1:6" ht="19.05" customHeight="1" x14ac:dyDescent="0.3">
      <c r="A35" s="35" t="s">
        <v>257</v>
      </c>
      <c r="B35" s="36">
        <v>24</v>
      </c>
      <c r="C35" s="36">
        <v>105</v>
      </c>
      <c r="D35" s="36">
        <v>2</v>
      </c>
      <c r="E35" s="36">
        <v>7</v>
      </c>
      <c r="F35" s="36">
        <v>2</v>
      </c>
    </row>
    <row r="36" spans="1:6" ht="19.05" customHeight="1" x14ac:dyDescent="0.3">
      <c r="A36" s="35" t="s">
        <v>258</v>
      </c>
      <c r="B36" s="36">
        <v>32</v>
      </c>
      <c r="C36" s="36">
        <v>135</v>
      </c>
      <c r="D36" s="36">
        <v>2</v>
      </c>
      <c r="E36" s="36">
        <v>7</v>
      </c>
      <c r="F36" s="36">
        <v>2</v>
      </c>
    </row>
    <row r="37" spans="1:6" ht="19.05" customHeight="1" x14ac:dyDescent="0.3">
      <c r="A37" s="35" t="s">
        <v>259</v>
      </c>
      <c r="B37" s="36">
        <v>41</v>
      </c>
      <c r="C37" s="36">
        <v>151</v>
      </c>
      <c r="D37" s="36">
        <v>3</v>
      </c>
      <c r="E37" s="36">
        <v>7</v>
      </c>
      <c r="F37" s="36">
        <v>2</v>
      </c>
    </row>
    <row r="38" spans="1:6" ht="19.05" customHeight="1" x14ac:dyDescent="0.3">
      <c r="A38" s="35">
        <v>46048</v>
      </c>
      <c r="B38" s="36">
        <v>37</v>
      </c>
      <c r="C38" s="36">
        <v>172</v>
      </c>
      <c r="D38" s="36">
        <v>4</v>
      </c>
      <c r="E38" s="36">
        <v>7</v>
      </c>
      <c r="F38" s="36">
        <v>3</v>
      </c>
    </row>
  </sheetData>
  <mergeCells count="2">
    <mergeCell ref="C1:E1"/>
    <mergeCell ref="C10:E10"/>
  </mergeCells>
  <conditionalFormatting sqref="J3:J7 F12:F14">
    <cfRule type="containsText" dxfId="2" priority="1" operator="containsText" text="Closed">
      <formula>NOT(ISERROR(SEARCH("Closed",F3)))</formula>
    </cfRule>
    <cfRule type="containsText" dxfId="1" priority="3" operator="containsText" text="Pending">
      <formula>NOT(ISERROR(SEARCH("Pending",F3)))</formula>
    </cfRule>
    <cfRule type="containsText" dxfId="0" priority="4" operator="containsText" text="Open">
      <formula>NOT(ISERROR(SEARCH("Open",F3)))</formula>
    </cfRule>
  </conditionalFormatting>
  <dataValidations count="1">
    <dataValidation type="list" allowBlank="1" showInputMessage="1" showErrorMessage="1" sqref="J3:J7 F12:F14" xr:uid="{00AB785C-CBD8-4ED1-BA17-E74F78B5CB73}">
      <formula1>$M$10:$M$12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5AB0-ADB6-4555-A9F4-EBA39127B663}">
  <dimension ref="A1"/>
  <sheetViews>
    <sheetView workbookViewId="0">
      <selection activeCell="K16" sqref="K1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C854EEC662343B494B79C841EB893" ma:contentTypeVersion="3" ma:contentTypeDescription="Create a new document." ma:contentTypeScope="" ma:versionID="6ce84bd95b2c27ef3f8dbb1a4b6d5574">
  <xsd:schema xmlns:xsd="http://www.w3.org/2001/XMLSchema" xmlns:xs="http://www.w3.org/2001/XMLSchema" xmlns:p="http://schemas.microsoft.com/office/2006/metadata/properties" xmlns:ns2="94129c53-c28d-496c-8429-14e6f5d28116" targetNamespace="http://schemas.microsoft.com/office/2006/metadata/properties" ma:root="true" ma:fieldsID="53e17c9d050d17215236993e0d4b215b" ns2:_="">
    <xsd:import namespace="94129c53-c28d-496c-8429-14e6f5d28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9c53-c28d-496c-8429-14e6f5d28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EBF095-E9D9-4F7C-B93A-8E0DF0599E4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849D2CB-B3C0-4AB2-B40A-B3ADAE67EBAE}">
  <ds:schemaRefs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4129c53-c28d-496c-8429-14e6f5d2811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8336838-3BC2-46FC-A833-CB0394669B0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7DA5C95-E860-481C-8BD9-12DA8D6D4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9c53-c28d-496c-8429-14e6f5d28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Rental IQ</vt:lpstr>
      <vt:lpstr>Rental IQ 2</vt:lpstr>
      <vt:lpstr>RI Insights</vt:lpstr>
      <vt:lpstr>AwardBook</vt:lpstr>
      <vt:lpstr>AwardBook 2</vt:lpstr>
      <vt:lpstr>AB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Desai</dc:creator>
  <cp:lastModifiedBy>Heman Germian</cp:lastModifiedBy>
  <dcterms:created xsi:type="dcterms:W3CDTF">2025-12-17T23:40:25Z</dcterms:created>
  <dcterms:modified xsi:type="dcterms:W3CDTF">2026-01-28T09:04:10Z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0x010100C8BC854EEC662343B494B79C841EB893</vt:lpwstr>
  </property>
</Properties>
</file>